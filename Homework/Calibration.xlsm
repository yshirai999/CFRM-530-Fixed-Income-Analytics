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"/>
    </mc:Choice>
  </mc:AlternateContent>
  <xr:revisionPtr revIDLastSave="16" documentId="8_{D107EB31-8DE9-4759-9B2C-6337036BE2A7}" xr6:coauthVersionLast="47" xr6:coauthVersionMax="47" xr10:uidLastSave="{99CA5586-6F89-4BFA-AD9F-9C605A5A15B5}"/>
  <bookViews>
    <workbookView xWindow="43080" yWindow="-120" windowWidth="29040" windowHeight="15720" activeTab="4" xr2:uid="{9D08D9B2-50F1-4281-B987-0AF91330CBCB}"/>
  </bookViews>
  <sheets>
    <sheet name="Summary" sheetId="2" r:id="rId1"/>
    <sheet name="Inputs" sheetId="3" r:id="rId2"/>
    <sheet name="Discount Curve" sheetId="4" r:id="rId3"/>
    <sheet name="Historical Rates" sheetId="5" r:id="rId4"/>
    <sheet name="Volatility Smile" sheetId="6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_____________bat67" hidden="1">{#N/A,#N/A,FALSE,"Tabl. D1";#N/A,#N/A,FALSE,"Tabl. D1 b";#N/A,#N/A,FALSE,"Tabl. D2";#N/A,#N/A,FALSE,"Tabl. D2 b";#N/A,#N/A,FALSE,"Tabl. D3";#N/A,#N/A,FALSE,"Tabl. D4";#N/A,#N/A,FALSE,"Tabl. D5"}</definedName>
    <definedName name="______________New1" hidden="1">{#N/A,#N/A,FALSE,"Aging Summary";#N/A,#N/A,FALSE,"Ratio Analysis";#N/A,#N/A,FALSE,"Test 120 Day Accts";#N/A,#N/A,FALSE,"Tickmarks"}</definedName>
    <definedName name="______________New2" hidden="1">{#N/A,#N/A,FALSE,"Aging Summary";#N/A,#N/A,FALSE,"Ratio Analysis";#N/A,#N/A,FALSE,"Test 120 Day Accts";#N/A,#N/A,FALSE,"Tickmarks"}</definedName>
    <definedName name="______________New3" hidden="1">{#N/A,#N/A,FALSE,"Aging Summary";#N/A,#N/A,FALSE,"Ratio Analysis";#N/A,#N/A,FALSE,"Test 120 Day Accts";#N/A,#N/A,FALSE,"Tickmarks"}</definedName>
    <definedName name="______________New4" hidden="1">{#N/A,#N/A,FALSE,"Aging Summary";#N/A,#N/A,FALSE,"Ratio Analysis";#N/A,#N/A,FALSE,"Test 120 Day Accts";#N/A,#N/A,FALSE,"Tickmarks"}</definedName>
    <definedName name="______________NM09" hidden="1">{#N/A,#N/A,FALSE,"Tabl. D1";#N/A,#N/A,FALSE,"Tabl. D1 b";#N/A,#N/A,FALSE,"Tabl. D2";#N/A,#N/A,FALSE,"Tabl. D2 b";#N/A,#N/A,FALSE,"Tabl. D3";#N/A,#N/A,FALSE,"Tabl. D4";#N/A,#N/A,FALSE,"Tabl. D5"}</definedName>
    <definedName name="______________taa34" hidden="1">{#N/A,#N/A,FALSE,"Tabl. G1";#N/A,#N/A,FALSE,"Tabl. G2"}</definedName>
    <definedName name="______________tab09" hidden="1">{#N/A,#N/A,FALSE,"Tabl. FB300";#N/A,#N/A,FALSE,"Tabl. FB350";#N/A,#N/A,FALSE,"Tabl. FB400";#N/A,#N/A,FALSE,"Tabl. FB500";#N/A,#N/A,FALSE,"Tabl. FS090"}</definedName>
    <definedName name="______________TAB120" hidden="1">{#N/A,#N/A,FALSE,"Tabl. FB300";#N/A,#N/A,FALSE,"Tabl. FB350";#N/A,#N/A,FALSE,"Tabl. FB400";#N/A,#N/A,FALSE,"Tabl. FB500";#N/A,#N/A,FALSE,"Tabl. FS090"}</definedName>
    <definedName name="______________tab14" hidden="1">{#N/A,#N/A,FALSE,"Tabl. FB300";#N/A,#N/A,FALSE,"Tabl. FB350";#N/A,#N/A,FALSE,"Tabl. FB400";#N/A,#N/A,FALSE,"Tabl. FB500";#N/A,#N/A,FALSE,"Tabl. FS090"}</definedName>
    <definedName name="______________tab15" hidden="1">{#N/A,#N/A,FALSE,"Tabl. A1";#N/A,#N/A,FALSE,"Tabl. A1 b";#N/A,#N/A,FALSE,"Tabl. A2";#N/A,#N/A,FALSE,"Tabl. A2-1";#N/A,#N/A,FALSE,"Tabl. A2-2"}</definedName>
    <definedName name="______________TAB20" hidden="1">{#N/A,#N/A,FALSE,"Tabl. D1";#N/A,#N/A,FALSE,"Tabl. D1 b";#N/A,#N/A,FALSE,"Tabl. D2";#N/A,#N/A,FALSE,"Tabl. D2 b";#N/A,#N/A,FALSE,"Tabl. D3";#N/A,#N/A,FALSE,"Tabl. D4";#N/A,#N/A,FALSE,"Tabl. D5"}</definedName>
    <definedName name="______________tab2341" hidden="1">{#N/A,#N/A,FALSE,"Tabl. FB300";#N/A,#N/A,FALSE,"Tabl. FB350";#N/A,#N/A,FALSE,"Tabl. FB400";#N/A,#N/A,FALSE,"Tabl. FB500";#N/A,#N/A,FALSE,"Tabl. FS090"}</definedName>
    <definedName name="______________tab26" hidden="1">{#N/A,#N/A,FALSE,"Tabl. H1";#N/A,#N/A,FALSE,"Tabl. H2"}</definedName>
    <definedName name="______________tab27" hidden="1">{#N/A,#N/A,FALSE,"Tabl. D1";#N/A,#N/A,FALSE,"Tabl. D1 b";#N/A,#N/A,FALSE,"Tabl. D2";#N/A,#N/A,FALSE,"Tabl. D2 b";#N/A,#N/A,FALSE,"Tabl. D3";#N/A,#N/A,FALSE,"Tabl. D4";#N/A,#N/A,FALSE,"Tabl. D5"}</definedName>
    <definedName name="______________TAB3" hidden="1">{#N/A,#N/A,FALSE,"Tabl. FB300";#N/A,#N/A,FALSE,"Tabl. FB350";#N/A,#N/A,FALSE,"Tabl. FB400";#N/A,#N/A,FALSE,"Tabl. FB500";#N/A,#N/A,FALSE,"Tabl. FS090"}</definedName>
    <definedName name="______________tab32" hidden="1">{#N/A,#N/A,FALSE,"Tabl. H1";#N/A,#N/A,FALSE,"Tabl. H2"}</definedName>
    <definedName name="______________tab36" hidden="1">{#N/A,#N/A,FALSE,"Tabl. A1";#N/A,#N/A,FALSE,"Tabl. A1 b";#N/A,#N/A,FALSE,"Tabl. A2";#N/A,#N/A,FALSE,"Tabl. A2-1";#N/A,#N/A,FALSE,"Tabl. A2-2"}</definedName>
    <definedName name="______________tab37" hidden="1">{#N/A,#N/A,FALSE,"Tabl. G1";#N/A,#N/A,FALSE,"Tabl. G2"}</definedName>
    <definedName name="______________tab4" hidden="1">{#N/A,#N/A,FALSE,"Tabl. FB300";#N/A,#N/A,FALSE,"Tabl. FB350";#N/A,#N/A,FALSE,"Tabl. FB400";#N/A,#N/A,FALSE,"Tabl. FB500";#N/A,#N/A,FALSE,"Tabl. FS090"}</definedName>
    <definedName name="______________tab40" hidden="1">{#N/A,#N/A,FALSE,"Tabl. FB300";#N/A,#N/A,FALSE,"Tabl. FB350";#N/A,#N/A,FALSE,"Tabl. FB400";#N/A,#N/A,FALSE,"Tabl. FB500";#N/A,#N/A,FALSE,"Tabl. FS090"}</definedName>
    <definedName name="______________tab43" hidden="1">{#N/A,#N/A,FALSE,"Tabl. D1";#N/A,#N/A,FALSE,"Tabl. D1 b";#N/A,#N/A,FALSE,"Tabl. D2";#N/A,#N/A,FALSE,"Tabl. D2 b";#N/A,#N/A,FALSE,"Tabl. D3";#N/A,#N/A,FALSE,"Tabl. D4";#N/A,#N/A,FALSE,"Tabl. D5"}</definedName>
    <definedName name="______________tab45" hidden="1">{#N/A,#N/A,FALSE,"Tabl. A1";#N/A,#N/A,FALSE,"Tabl. A1 b";#N/A,#N/A,FALSE,"Tabl. A2";#N/A,#N/A,FALSE,"Tabl. A2-1";#N/A,#N/A,FALSE,"Tabl. A2-2"}</definedName>
    <definedName name="______________tab5" hidden="1">{#N/A,#N/A,FALSE,"Tabl. FB300";#N/A,#N/A,FALSE,"Tabl. FB350";#N/A,#N/A,FALSE,"Tabl. FB400";#N/A,#N/A,FALSE,"Tabl. FB500";#N/A,#N/A,FALSE,"Tabl. FS090"}</definedName>
    <definedName name="______________tab653" hidden="1">{#N/A,#N/A,FALSE,"Tabl. G1";#N/A,#N/A,FALSE,"Tabl. G2"}</definedName>
    <definedName name="______________TAB67" hidden="1">{#N/A,#N/A,FALSE,"Tabl. A1";#N/A,#N/A,FALSE,"Tabl. A1 b";#N/A,#N/A,FALSE,"Tabl. A2";#N/A,#N/A,FALSE,"Tabl. A2-1";#N/A,#N/A,FALSE,"Tabl. A2-2"}</definedName>
    <definedName name="______________tab678" hidden="1">{#N/A,#N/A,FALSE,"Tabl. FB300";#N/A,#N/A,FALSE,"Tabl. FB350";#N/A,#N/A,FALSE,"Tabl. FB400";#N/A,#N/A,FALSE,"Tabl. FB500";#N/A,#N/A,FALSE,"Tabl. FS090"}</definedName>
    <definedName name="______________tab7" hidden="1">{#N/A,#N/A,FALSE,"Tabl. FB300";#N/A,#N/A,FALSE,"Tabl. FB350";#N/A,#N/A,FALSE,"Tabl. FB400";#N/A,#N/A,FALSE,"Tabl. FB500";#N/A,#N/A,FALSE,"Tabl. FS090"}</definedName>
    <definedName name="______________tab78" hidden="1">{#N/A,#N/A,FALSE,"Tabl. D1";#N/A,#N/A,FALSE,"Tabl. D1 b";#N/A,#N/A,FALSE,"Tabl. D2";#N/A,#N/A,FALSE,"Tabl. D2 b";#N/A,#N/A,FALSE,"Tabl. D3";#N/A,#N/A,FALSE,"Tabl. D4";#N/A,#N/A,FALSE,"Tabl. D5"}</definedName>
    <definedName name="______________TAB8" hidden="1">{#N/A,#N/A,FALSE,"Tabl. FB300";#N/A,#N/A,FALSE,"Tabl. FB350";#N/A,#N/A,FALSE,"Tabl. FB400";#N/A,#N/A,FALSE,"Tabl. FB500";#N/A,#N/A,FALSE,"Tabl. FS090"}</definedName>
    <definedName name="______________tab80" hidden="1">{#N/A,#N/A,FALSE,"Tabl. FB300";#N/A,#N/A,FALSE,"Tabl. FB350";#N/A,#N/A,FALSE,"Tabl. FB400";#N/A,#N/A,FALSE,"Tabl. FB500";#N/A,#N/A,FALSE,"Tabl. FS090"}</definedName>
    <definedName name="______________TAB90" hidden="1">{#N/A,#N/A,FALSE,"Tabl. H1";#N/A,#N/A,FALSE,"Tabl. H2"}</definedName>
    <definedName name="______________tab98" hidden="1">{#N/A,#N/A,FALSE,"Tabl. A1";#N/A,#N/A,FALSE,"Tabl. A1 b";#N/A,#N/A,FALSE,"Tabl. A2";#N/A,#N/A,FALSE,"Tabl. A2-1";#N/A,#N/A,FALSE,"Tabl. A2-2"}</definedName>
    <definedName name="______________tab987" hidden="1">{#N/A,#N/A,FALSE,"Tabl. G1";#N/A,#N/A,FALSE,"Tabl. G2"}</definedName>
    <definedName name="_____________bat67" hidden="1">{#N/A,#N/A,FALSE,"Tabl. D1";#N/A,#N/A,FALSE,"Tabl. D1 b";#N/A,#N/A,FALSE,"Tabl. D2";#N/A,#N/A,FALSE,"Tabl. D2 b";#N/A,#N/A,FALSE,"Tabl. D3";#N/A,#N/A,FALSE,"Tabl. D4";#N/A,#N/A,FALSE,"Tabl. D5"}</definedName>
    <definedName name="_____________New1" hidden="1">{#N/A,#N/A,FALSE,"Aging Summary";#N/A,#N/A,FALSE,"Ratio Analysis";#N/A,#N/A,FALSE,"Test 120 Day Accts";#N/A,#N/A,FALSE,"Tickmarks"}</definedName>
    <definedName name="_____________New2" hidden="1">{#N/A,#N/A,FALSE,"Aging Summary";#N/A,#N/A,FALSE,"Ratio Analysis";#N/A,#N/A,FALSE,"Test 120 Day Accts";#N/A,#N/A,FALSE,"Tickmarks"}</definedName>
    <definedName name="_____________New3" hidden="1">{#N/A,#N/A,FALSE,"Aging Summary";#N/A,#N/A,FALSE,"Ratio Analysis";#N/A,#N/A,FALSE,"Test 120 Day Accts";#N/A,#N/A,FALSE,"Tickmarks"}</definedName>
    <definedName name="_____________New4" hidden="1">{#N/A,#N/A,FALSE,"Aging Summary";#N/A,#N/A,FALSE,"Ratio Analysis";#N/A,#N/A,FALSE,"Test 120 Day Accts";#N/A,#N/A,FALSE,"Tickmarks"}</definedName>
    <definedName name="_____________NM09" hidden="1">{#N/A,#N/A,FALSE,"Tabl. D1";#N/A,#N/A,FALSE,"Tabl. D1 b";#N/A,#N/A,FALSE,"Tabl. D2";#N/A,#N/A,FALSE,"Tabl. D2 b";#N/A,#N/A,FALSE,"Tabl. D3";#N/A,#N/A,FALSE,"Tabl. D4";#N/A,#N/A,FALSE,"Tabl. D5"}</definedName>
    <definedName name="_____________taa34" hidden="1">{#N/A,#N/A,FALSE,"Tabl. G1";#N/A,#N/A,FALSE,"Tabl. G2"}</definedName>
    <definedName name="_____________tab09" hidden="1">{#N/A,#N/A,FALSE,"Tabl. FB300";#N/A,#N/A,FALSE,"Tabl. FB350";#N/A,#N/A,FALSE,"Tabl. FB400";#N/A,#N/A,FALSE,"Tabl. FB500";#N/A,#N/A,FALSE,"Tabl. FS090"}</definedName>
    <definedName name="_____________TAB120" hidden="1">{#N/A,#N/A,FALSE,"Tabl. FB300";#N/A,#N/A,FALSE,"Tabl. FB350";#N/A,#N/A,FALSE,"Tabl. FB400";#N/A,#N/A,FALSE,"Tabl. FB500";#N/A,#N/A,FALSE,"Tabl. FS090"}</definedName>
    <definedName name="_____________tab14" hidden="1">{#N/A,#N/A,FALSE,"Tabl. FB300";#N/A,#N/A,FALSE,"Tabl. FB350";#N/A,#N/A,FALSE,"Tabl. FB400";#N/A,#N/A,FALSE,"Tabl. FB500";#N/A,#N/A,FALSE,"Tabl. FS090"}</definedName>
    <definedName name="_____________tab15" hidden="1">{#N/A,#N/A,FALSE,"Tabl. A1";#N/A,#N/A,FALSE,"Tabl. A1 b";#N/A,#N/A,FALSE,"Tabl. A2";#N/A,#N/A,FALSE,"Tabl. A2-1";#N/A,#N/A,FALSE,"Tabl. A2-2"}</definedName>
    <definedName name="_____________TAB20" hidden="1">{#N/A,#N/A,FALSE,"Tabl. D1";#N/A,#N/A,FALSE,"Tabl. D1 b";#N/A,#N/A,FALSE,"Tabl. D2";#N/A,#N/A,FALSE,"Tabl. D2 b";#N/A,#N/A,FALSE,"Tabl. D3";#N/A,#N/A,FALSE,"Tabl. D4";#N/A,#N/A,FALSE,"Tabl. D5"}</definedName>
    <definedName name="_____________tab2341" hidden="1">{#N/A,#N/A,FALSE,"Tabl. FB300";#N/A,#N/A,FALSE,"Tabl. FB350";#N/A,#N/A,FALSE,"Tabl. FB400";#N/A,#N/A,FALSE,"Tabl. FB500";#N/A,#N/A,FALSE,"Tabl. FS090"}</definedName>
    <definedName name="_____________tab26" hidden="1">{#N/A,#N/A,FALSE,"Tabl. H1";#N/A,#N/A,FALSE,"Tabl. H2"}</definedName>
    <definedName name="_____________tab27" hidden="1">{#N/A,#N/A,FALSE,"Tabl. D1";#N/A,#N/A,FALSE,"Tabl. D1 b";#N/A,#N/A,FALSE,"Tabl. D2";#N/A,#N/A,FALSE,"Tabl. D2 b";#N/A,#N/A,FALSE,"Tabl. D3";#N/A,#N/A,FALSE,"Tabl. D4";#N/A,#N/A,FALSE,"Tabl. D5"}</definedName>
    <definedName name="_____________TAB3" hidden="1">{#N/A,#N/A,FALSE,"Tabl. FB300";#N/A,#N/A,FALSE,"Tabl. FB350";#N/A,#N/A,FALSE,"Tabl. FB400";#N/A,#N/A,FALSE,"Tabl. FB500";#N/A,#N/A,FALSE,"Tabl. FS090"}</definedName>
    <definedName name="_____________tab32" hidden="1">{#N/A,#N/A,FALSE,"Tabl. H1";#N/A,#N/A,FALSE,"Tabl. H2"}</definedName>
    <definedName name="_____________tab36" hidden="1">{#N/A,#N/A,FALSE,"Tabl. A1";#N/A,#N/A,FALSE,"Tabl. A1 b";#N/A,#N/A,FALSE,"Tabl. A2";#N/A,#N/A,FALSE,"Tabl. A2-1";#N/A,#N/A,FALSE,"Tabl. A2-2"}</definedName>
    <definedName name="_____________tab37" hidden="1">{#N/A,#N/A,FALSE,"Tabl. G1";#N/A,#N/A,FALSE,"Tabl. G2"}</definedName>
    <definedName name="_____________tab4" hidden="1">{#N/A,#N/A,FALSE,"Tabl. FB300";#N/A,#N/A,FALSE,"Tabl. FB350";#N/A,#N/A,FALSE,"Tabl. FB400";#N/A,#N/A,FALSE,"Tabl. FB500";#N/A,#N/A,FALSE,"Tabl. FS090"}</definedName>
    <definedName name="_____________tab40" hidden="1">{#N/A,#N/A,FALSE,"Tabl. FB300";#N/A,#N/A,FALSE,"Tabl. FB350";#N/A,#N/A,FALSE,"Tabl. FB400";#N/A,#N/A,FALSE,"Tabl. FB500";#N/A,#N/A,FALSE,"Tabl. FS090"}</definedName>
    <definedName name="_____________tab43" hidden="1">{#N/A,#N/A,FALSE,"Tabl. D1";#N/A,#N/A,FALSE,"Tabl. D1 b";#N/A,#N/A,FALSE,"Tabl. D2";#N/A,#N/A,FALSE,"Tabl. D2 b";#N/A,#N/A,FALSE,"Tabl. D3";#N/A,#N/A,FALSE,"Tabl. D4";#N/A,#N/A,FALSE,"Tabl. D5"}</definedName>
    <definedName name="_____________tab45" hidden="1">{#N/A,#N/A,FALSE,"Tabl. A1";#N/A,#N/A,FALSE,"Tabl. A1 b";#N/A,#N/A,FALSE,"Tabl. A2";#N/A,#N/A,FALSE,"Tabl. A2-1";#N/A,#N/A,FALSE,"Tabl. A2-2"}</definedName>
    <definedName name="_____________tab5" hidden="1">{#N/A,#N/A,FALSE,"Tabl. FB300";#N/A,#N/A,FALSE,"Tabl. FB350";#N/A,#N/A,FALSE,"Tabl. FB400";#N/A,#N/A,FALSE,"Tabl. FB500";#N/A,#N/A,FALSE,"Tabl. FS090"}</definedName>
    <definedName name="_____________tab653" hidden="1">{#N/A,#N/A,FALSE,"Tabl. G1";#N/A,#N/A,FALSE,"Tabl. G2"}</definedName>
    <definedName name="_____________TAB67" hidden="1">{#N/A,#N/A,FALSE,"Tabl. A1";#N/A,#N/A,FALSE,"Tabl. A1 b";#N/A,#N/A,FALSE,"Tabl. A2";#N/A,#N/A,FALSE,"Tabl. A2-1";#N/A,#N/A,FALSE,"Tabl. A2-2"}</definedName>
    <definedName name="_____________tab678" hidden="1">{#N/A,#N/A,FALSE,"Tabl. FB300";#N/A,#N/A,FALSE,"Tabl. FB350";#N/A,#N/A,FALSE,"Tabl. FB400";#N/A,#N/A,FALSE,"Tabl. FB500";#N/A,#N/A,FALSE,"Tabl. FS090"}</definedName>
    <definedName name="_____________tab7" hidden="1">{#N/A,#N/A,FALSE,"Tabl. FB300";#N/A,#N/A,FALSE,"Tabl. FB350";#N/A,#N/A,FALSE,"Tabl. FB400";#N/A,#N/A,FALSE,"Tabl. FB500";#N/A,#N/A,FALSE,"Tabl. FS090"}</definedName>
    <definedName name="_____________tab78" hidden="1">{#N/A,#N/A,FALSE,"Tabl. D1";#N/A,#N/A,FALSE,"Tabl. D1 b";#N/A,#N/A,FALSE,"Tabl. D2";#N/A,#N/A,FALSE,"Tabl. D2 b";#N/A,#N/A,FALSE,"Tabl. D3";#N/A,#N/A,FALSE,"Tabl. D4";#N/A,#N/A,FALSE,"Tabl. D5"}</definedName>
    <definedName name="_____________TAB8" hidden="1">{#N/A,#N/A,FALSE,"Tabl. FB300";#N/A,#N/A,FALSE,"Tabl. FB350";#N/A,#N/A,FALSE,"Tabl. FB400";#N/A,#N/A,FALSE,"Tabl. FB500";#N/A,#N/A,FALSE,"Tabl. FS090"}</definedName>
    <definedName name="_____________tab80" hidden="1">{#N/A,#N/A,FALSE,"Tabl. FB300";#N/A,#N/A,FALSE,"Tabl. FB350";#N/A,#N/A,FALSE,"Tabl. FB400";#N/A,#N/A,FALSE,"Tabl. FB500";#N/A,#N/A,FALSE,"Tabl. FS090"}</definedName>
    <definedName name="_____________TAB90" hidden="1">{#N/A,#N/A,FALSE,"Tabl. H1";#N/A,#N/A,FALSE,"Tabl. H2"}</definedName>
    <definedName name="_____________tab98" hidden="1">{#N/A,#N/A,FALSE,"Tabl. A1";#N/A,#N/A,FALSE,"Tabl. A1 b";#N/A,#N/A,FALSE,"Tabl. A2";#N/A,#N/A,FALSE,"Tabl. A2-1";#N/A,#N/A,FALSE,"Tabl. A2-2"}</definedName>
    <definedName name="_____________tab987" hidden="1">{#N/A,#N/A,FALSE,"Tabl. G1";#N/A,#N/A,FALSE,"Tabl. G2"}</definedName>
    <definedName name="____________bat67" hidden="1">{#N/A,#N/A,FALSE,"Tabl. D1";#N/A,#N/A,FALSE,"Tabl. D1 b";#N/A,#N/A,FALSE,"Tabl. D2";#N/A,#N/A,FALSE,"Tabl. D2 b";#N/A,#N/A,FALSE,"Tabl. D3";#N/A,#N/A,FALSE,"Tabl. D4";#N/A,#N/A,FALSE,"Tabl. D5"}</definedName>
    <definedName name="____________New1" hidden="1">{#N/A,#N/A,FALSE,"Aging Summary";#N/A,#N/A,FALSE,"Ratio Analysis";#N/A,#N/A,FALSE,"Test 120 Day Accts";#N/A,#N/A,FALSE,"Tickmarks"}</definedName>
    <definedName name="____________New2" hidden="1">{#N/A,#N/A,FALSE,"Aging Summary";#N/A,#N/A,FALSE,"Ratio Analysis";#N/A,#N/A,FALSE,"Test 120 Day Accts";#N/A,#N/A,FALSE,"Tickmarks"}</definedName>
    <definedName name="____________New3" hidden="1">{#N/A,#N/A,FALSE,"Aging Summary";#N/A,#N/A,FALSE,"Ratio Analysis";#N/A,#N/A,FALSE,"Test 120 Day Accts";#N/A,#N/A,FALSE,"Tickmarks"}</definedName>
    <definedName name="____________New4" hidden="1">{#N/A,#N/A,FALSE,"Aging Summary";#N/A,#N/A,FALSE,"Ratio Analysis";#N/A,#N/A,FALSE,"Test 120 Day Accts";#N/A,#N/A,FALSE,"Tickmarks"}</definedName>
    <definedName name="____________NM09" hidden="1">{#N/A,#N/A,FALSE,"Tabl. D1";#N/A,#N/A,FALSE,"Tabl. D1 b";#N/A,#N/A,FALSE,"Tabl. D2";#N/A,#N/A,FALSE,"Tabl. D2 b";#N/A,#N/A,FALSE,"Tabl. D3";#N/A,#N/A,FALSE,"Tabl. D4";#N/A,#N/A,FALSE,"Tabl. D5"}</definedName>
    <definedName name="____________taa34" hidden="1">{#N/A,#N/A,FALSE,"Tabl. G1";#N/A,#N/A,FALSE,"Tabl. G2"}</definedName>
    <definedName name="____________tab09" hidden="1">{#N/A,#N/A,FALSE,"Tabl. FB300";#N/A,#N/A,FALSE,"Tabl. FB350";#N/A,#N/A,FALSE,"Tabl. FB400";#N/A,#N/A,FALSE,"Tabl. FB500";#N/A,#N/A,FALSE,"Tabl. FS090"}</definedName>
    <definedName name="____________TAB120" hidden="1">{#N/A,#N/A,FALSE,"Tabl. FB300";#N/A,#N/A,FALSE,"Tabl. FB350";#N/A,#N/A,FALSE,"Tabl. FB400";#N/A,#N/A,FALSE,"Tabl. FB500";#N/A,#N/A,FALSE,"Tabl. FS090"}</definedName>
    <definedName name="____________tab14" hidden="1">{#N/A,#N/A,FALSE,"Tabl. FB300";#N/A,#N/A,FALSE,"Tabl. FB350";#N/A,#N/A,FALSE,"Tabl. FB400";#N/A,#N/A,FALSE,"Tabl. FB500";#N/A,#N/A,FALSE,"Tabl. FS090"}</definedName>
    <definedName name="____________tab15" hidden="1">{#N/A,#N/A,FALSE,"Tabl. A1";#N/A,#N/A,FALSE,"Tabl. A1 b";#N/A,#N/A,FALSE,"Tabl. A2";#N/A,#N/A,FALSE,"Tabl. A2-1";#N/A,#N/A,FALSE,"Tabl. A2-2"}</definedName>
    <definedName name="____________TAB20" hidden="1">{#N/A,#N/A,FALSE,"Tabl. D1";#N/A,#N/A,FALSE,"Tabl. D1 b";#N/A,#N/A,FALSE,"Tabl. D2";#N/A,#N/A,FALSE,"Tabl. D2 b";#N/A,#N/A,FALSE,"Tabl. D3";#N/A,#N/A,FALSE,"Tabl. D4";#N/A,#N/A,FALSE,"Tabl. D5"}</definedName>
    <definedName name="____________tab2341" hidden="1">{#N/A,#N/A,FALSE,"Tabl. FB300";#N/A,#N/A,FALSE,"Tabl. FB350";#N/A,#N/A,FALSE,"Tabl. FB400";#N/A,#N/A,FALSE,"Tabl. FB500";#N/A,#N/A,FALSE,"Tabl. FS090"}</definedName>
    <definedName name="____________tab26" hidden="1">{#N/A,#N/A,FALSE,"Tabl. H1";#N/A,#N/A,FALSE,"Tabl. H2"}</definedName>
    <definedName name="____________tab27" hidden="1">{#N/A,#N/A,FALSE,"Tabl. D1";#N/A,#N/A,FALSE,"Tabl. D1 b";#N/A,#N/A,FALSE,"Tabl. D2";#N/A,#N/A,FALSE,"Tabl. D2 b";#N/A,#N/A,FALSE,"Tabl. D3";#N/A,#N/A,FALSE,"Tabl. D4";#N/A,#N/A,FALSE,"Tabl. D5"}</definedName>
    <definedName name="____________TAB3" hidden="1">{#N/A,#N/A,FALSE,"Tabl. FB300";#N/A,#N/A,FALSE,"Tabl. FB350";#N/A,#N/A,FALSE,"Tabl. FB400";#N/A,#N/A,FALSE,"Tabl. FB500";#N/A,#N/A,FALSE,"Tabl. FS090"}</definedName>
    <definedName name="____________tab32" hidden="1">{#N/A,#N/A,FALSE,"Tabl. H1";#N/A,#N/A,FALSE,"Tabl. H2"}</definedName>
    <definedName name="____________tab36" hidden="1">{#N/A,#N/A,FALSE,"Tabl. A1";#N/A,#N/A,FALSE,"Tabl. A1 b";#N/A,#N/A,FALSE,"Tabl. A2";#N/A,#N/A,FALSE,"Tabl. A2-1";#N/A,#N/A,FALSE,"Tabl. A2-2"}</definedName>
    <definedName name="____________tab37" hidden="1">{#N/A,#N/A,FALSE,"Tabl. G1";#N/A,#N/A,FALSE,"Tabl. G2"}</definedName>
    <definedName name="____________tab4" hidden="1">{#N/A,#N/A,FALSE,"Tabl. FB300";#N/A,#N/A,FALSE,"Tabl. FB350";#N/A,#N/A,FALSE,"Tabl. FB400";#N/A,#N/A,FALSE,"Tabl. FB500";#N/A,#N/A,FALSE,"Tabl. FS090"}</definedName>
    <definedName name="____________tab40" hidden="1">{#N/A,#N/A,FALSE,"Tabl. FB300";#N/A,#N/A,FALSE,"Tabl. FB350";#N/A,#N/A,FALSE,"Tabl. FB400";#N/A,#N/A,FALSE,"Tabl. FB500";#N/A,#N/A,FALSE,"Tabl. FS090"}</definedName>
    <definedName name="____________tab43" hidden="1">{#N/A,#N/A,FALSE,"Tabl. D1";#N/A,#N/A,FALSE,"Tabl. D1 b";#N/A,#N/A,FALSE,"Tabl. D2";#N/A,#N/A,FALSE,"Tabl. D2 b";#N/A,#N/A,FALSE,"Tabl. D3";#N/A,#N/A,FALSE,"Tabl. D4";#N/A,#N/A,FALSE,"Tabl. D5"}</definedName>
    <definedName name="____________tab45" hidden="1">{#N/A,#N/A,FALSE,"Tabl. A1";#N/A,#N/A,FALSE,"Tabl. A1 b";#N/A,#N/A,FALSE,"Tabl. A2";#N/A,#N/A,FALSE,"Tabl. A2-1";#N/A,#N/A,FALSE,"Tabl. A2-2"}</definedName>
    <definedName name="____________tab5" hidden="1">{#N/A,#N/A,FALSE,"Tabl. FB300";#N/A,#N/A,FALSE,"Tabl. FB350";#N/A,#N/A,FALSE,"Tabl. FB400";#N/A,#N/A,FALSE,"Tabl. FB500";#N/A,#N/A,FALSE,"Tabl. FS090"}</definedName>
    <definedName name="____________tab653" hidden="1">{#N/A,#N/A,FALSE,"Tabl. G1";#N/A,#N/A,FALSE,"Tabl. G2"}</definedName>
    <definedName name="____________TAB67" hidden="1">{#N/A,#N/A,FALSE,"Tabl. A1";#N/A,#N/A,FALSE,"Tabl. A1 b";#N/A,#N/A,FALSE,"Tabl. A2";#N/A,#N/A,FALSE,"Tabl. A2-1";#N/A,#N/A,FALSE,"Tabl. A2-2"}</definedName>
    <definedName name="____________tab678" hidden="1">{#N/A,#N/A,FALSE,"Tabl. FB300";#N/A,#N/A,FALSE,"Tabl. FB350";#N/A,#N/A,FALSE,"Tabl. FB400";#N/A,#N/A,FALSE,"Tabl. FB500";#N/A,#N/A,FALSE,"Tabl. FS090"}</definedName>
    <definedName name="____________tab7" hidden="1">{#N/A,#N/A,FALSE,"Tabl. FB300";#N/A,#N/A,FALSE,"Tabl. FB350";#N/A,#N/A,FALSE,"Tabl. FB400";#N/A,#N/A,FALSE,"Tabl. FB500";#N/A,#N/A,FALSE,"Tabl. FS090"}</definedName>
    <definedName name="____________tab78" hidden="1">{#N/A,#N/A,FALSE,"Tabl. D1";#N/A,#N/A,FALSE,"Tabl. D1 b";#N/A,#N/A,FALSE,"Tabl. D2";#N/A,#N/A,FALSE,"Tabl. D2 b";#N/A,#N/A,FALSE,"Tabl. D3";#N/A,#N/A,FALSE,"Tabl. D4";#N/A,#N/A,FALSE,"Tabl. D5"}</definedName>
    <definedName name="____________TAB8" hidden="1">{#N/A,#N/A,FALSE,"Tabl. FB300";#N/A,#N/A,FALSE,"Tabl. FB350";#N/A,#N/A,FALSE,"Tabl. FB400";#N/A,#N/A,FALSE,"Tabl. FB500";#N/A,#N/A,FALSE,"Tabl. FS090"}</definedName>
    <definedName name="____________tab80" hidden="1">{#N/A,#N/A,FALSE,"Tabl. FB300";#N/A,#N/A,FALSE,"Tabl. FB350";#N/A,#N/A,FALSE,"Tabl. FB400";#N/A,#N/A,FALSE,"Tabl. FB500";#N/A,#N/A,FALSE,"Tabl. FS090"}</definedName>
    <definedName name="____________TAB90" hidden="1">{#N/A,#N/A,FALSE,"Tabl. H1";#N/A,#N/A,FALSE,"Tabl. H2"}</definedName>
    <definedName name="____________tab98" hidden="1">{#N/A,#N/A,FALSE,"Tabl. A1";#N/A,#N/A,FALSE,"Tabl. A1 b";#N/A,#N/A,FALSE,"Tabl. A2";#N/A,#N/A,FALSE,"Tabl. A2-1";#N/A,#N/A,FALSE,"Tabl. A2-2"}</definedName>
    <definedName name="____________tab987" hidden="1">{#N/A,#N/A,FALSE,"Tabl. G1";#N/A,#N/A,FALSE,"Tabl. G2"}</definedName>
    <definedName name="__________bat67" hidden="1">{#N/A,#N/A,FALSE,"Tabl. D1";#N/A,#N/A,FALSE,"Tabl. D1 b";#N/A,#N/A,FALSE,"Tabl. D2";#N/A,#N/A,FALSE,"Tabl. D2 b";#N/A,#N/A,FALSE,"Tabl. D3";#N/A,#N/A,FALSE,"Tabl. D4";#N/A,#N/A,FALSE,"Tabl. D5"}</definedName>
    <definedName name="__________New1" hidden="1">{#N/A,#N/A,FALSE,"Aging Summary";#N/A,#N/A,FALSE,"Ratio Analysis";#N/A,#N/A,FALSE,"Test 120 Day Accts";#N/A,#N/A,FALSE,"Tickmarks"}</definedName>
    <definedName name="__________New2" hidden="1">{#N/A,#N/A,FALSE,"Aging Summary";#N/A,#N/A,FALSE,"Ratio Analysis";#N/A,#N/A,FALSE,"Test 120 Day Accts";#N/A,#N/A,FALSE,"Tickmarks"}</definedName>
    <definedName name="__________New3" hidden="1">{#N/A,#N/A,FALSE,"Aging Summary";#N/A,#N/A,FALSE,"Ratio Analysis";#N/A,#N/A,FALSE,"Test 120 Day Accts";#N/A,#N/A,FALSE,"Tickmarks"}</definedName>
    <definedName name="__________New4" hidden="1">{#N/A,#N/A,FALSE,"Aging Summary";#N/A,#N/A,FALSE,"Ratio Analysis";#N/A,#N/A,FALSE,"Test 120 Day Accts";#N/A,#N/A,FALSE,"Tickmarks"}</definedName>
    <definedName name="__________NM09" hidden="1">{#N/A,#N/A,FALSE,"Tabl. D1";#N/A,#N/A,FALSE,"Tabl. D1 b";#N/A,#N/A,FALSE,"Tabl. D2";#N/A,#N/A,FALSE,"Tabl. D2 b";#N/A,#N/A,FALSE,"Tabl. D3";#N/A,#N/A,FALSE,"Tabl. D4";#N/A,#N/A,FALSE,"Tabl. D5"}</definedName>
    <definedName name="__________taa34" hidden="1">{#N/A,#N/A,FALSE,"Tabl. G1";#N/A,#N/A,FALSE,"Tabl. G2"}</definedName>
    <definedName name="__________tab09" hidden="1">{#N/A,#N/A,FALSE,"Tabl. FB300";#N/A,#N/A,FALSE,"Tabl. FB350";#N/A,#N/A,FALSE,"Tabl. FB400";#N/A,#N/A,FALSE,"Tabl. FB500";#N/A,#N/A,FALSE,"Tabl. FS090"}</definedName>
    <definedName name="__________TAB120" hidden="1">{#N/A,#N/A,FALSE,"Tabl. FB300";#N/A,#N/A,FALSE,"Tabl. FB350";#N/A,#N/A,FALSE,"Tabl. FB400";#N/A,#N/A,FALSE,"Tabl. FB500";#N/A,#N/A,FALSE,"Tabl. FS090"}</definedName>
    <definedName name="__________tab14" hidden="1">{#N/A,#N/A,FALSE,"Tabl. FB300";#N/A,#N/A,FALSE,"Tabl. FB350";#N/A,#N/A,FALSE,"Tabl. FB400";#N/A,#N/A,FALSE,"Tabl. FB500";#N/A,#N/A,FALSE,"Tabl. FS090"}</definedName>
    <definedName name="__________tab15" hidden="1">{#N/A,#N/A,FALSE,"Tabl. A1";#N/A,#N/A,FALSE,"Tabl. A1 b";#N/A,#N/A,FALSE,"Tabl. A2";#N/A,#N/A,FALSE,"Tabl. A2-1";#N/A,#N/A,FALSE,"Tabl. A2-2"}</definedName>
    <definedName name="__________TAB20" hidden="1">{#N/A,#N/A,FALSE,"Tabl. D1";#N/A,#N/A,FALSE,"Tabl. D1 b";#N/A,#N/A,FALSE,"Tabl. D2";#N/A,#N/A,FALSE,"Tabl. D2 b";#N/A,#N/A,FALSE,"Tabl. D3";#N/A,#N/A,FALSE,"Tabl. D4";#N/A,#N/A,FALSE,"Tabl. D5"}</definedName>
    <definedName name="__________tab2341" hidden="1">{#N/A,#N/A,FALSE,"Tabl. FB300";#N/A,#N/A,FALSE,"Tabl. FB350";#N/A,#N/A,FALSE,"Tabl. FB400";#N/A,#N/A,FALSE,"Tabl. FB500";#N/A,#N/A,FALSE,"Tabl. FS090"}</definedName>
    <definedName name="__________tab26" hidden="1">{#N/A,#N/A,FALSE,"Tabl. H1";#N/A,#N/A,FALSE,"Tabl. H2"}</definedName>
    <definedName name="__________tab27" hidden="1">{#N/A,#N/A,FALSE,"Tabl. D1";#N/A,#N/A,FALSE,"Tabl. D1 b";#N/A,#N/A,FALSE,"Tabl. D2";#N/A,#N/A,FALSE,"Tabl. D2 b";#N/A,#N/A,FALSE,"Tabl. D3";#N/A,#N/A,FALSE,"Tabl. D4";#N/A,#N/A,FALSE,"Tabl. D5"}</definedName>
    <definedName name="__________TAB3" hidden="1">{#N/A,#N/A,FALSE,"Tabl. FB300";#N/A,#N/A,FALSE,"Tabl. FB350";#N/A,#N/A,FALSE,"Tabl. FB400";#N/A,#N/A,FALSE,"Tabl. FB500";#N/A,#N/A,FALSE,"Tabl. FS090"}</definedName>
    <definedName name="__________tab32" hidden="1">{#N/A,#N/A,FALSE,"Tabl. H1";#N/A,#N/A,FALSE,"Tabl. H2"}</definedName>
    <definedName name="__________tab36" hidden="1">{#N/A,#N/A,FALSE,"Tabl. A1";#N/A,#N/A,FALSE,"Tabl. A1 b";#N/A,#N/A,FALSE,"Tabl. A2";#N/A,#N/A,FALSE,"Tabl. A2-1";#N/A,#N/A,FALSE,"Tabl. A2-2"}</definedName>
    <definedName name="__________tab37" hidden="1">{#N/A,#N/A,FALSE,"Tabl. G1";#N/A,#N/A,FALSE,"Tabl. G2"}</definedName>
    <definedName name="__________tab4" hidden="1">{#N/A,#N/A,FALSE,"Tabl. FB300";#N/A,#N/A,FALSE,"Tabl. FB350";#N/A,#N/A,FALSE,"Tabl. FB400";#N/A,#N/A,FALSE,"Tabl. FB500";#N/A,#N/A,FALSE,"Tabl. FS090"}</definedName>
    <definedName name="__________tab40" hidden="1">{#N/A,#N/A,FALSE,"Tabl. FB300";#N/A,#N/A,FALSE,"Tabl. FB350";#N/A,#N/A,FALSE,"Tabl. FB400";#N/A,#N/A,FALSE,"Tabl. FB500";#N/A,#N/A,FALSE,"Tabl. FS090"}</definedName>
    <definedName name="__________tab43" hidden="1">{#N/A,#N/A,FALSE,"Tabl. D1";#N/A,#N/A,FALSE,"Tabl. D1 b";#N/A,#N/A,FALSE,"Tabl. D2";#N/A,#N/A,FALSE,"Tabl. D2 b";#N/A,#N/A,FALSE,"Tabl. D3";#N/A,#N/A,FALSE,"Tabl. D4";#N/A,#N/A,FALSE,"Tabl. D5"}</definedName>
    <definedName name="__________tab45" hidden="1">{#N/A,#N/A,FALSE,"Tabl. A1";#N/A,#N/A,FALSE,"Tabl. A1 b";#N/A,#N/A,FALSE,"Tabl. A2";#N/A,#N/A,FALSE,"Tabl. A2-1";#N/A,#N/A,FALSE,"Tabl. A2-2"}</definedName>
    <definedName name="__________tab5" hidden="1">{#N/A,#N/A,FALSE,"Tabl. FB300";#N/A,#N/A,FALSE,"Tabl. FB350";#N/A,#N/A,FALSE,"Tabl. FB400";#N/A,#N/A,FALSE,"Tabl. FB500";#N/A,#N/A,FALSE,"Tabl. FS090"}</definedName>
    <definedName name="__________tab653" hidden="1">{#N/A,#N/A,FALSE,"Tabl. G1";#N/A,#N/A,FALSE,"Tabl. G2"}</definedName>
    <definedName name="__________TAB67" hidden="1">{#N/A,#N/A,FALSE,"Tabl. A1";#N/A,#N/A,FALSE,"Tabl. A1 b";#N/A,#N/A,FALSE,"Tabl. A2";#N/A,#N/A,FALSE,"Tabl. A2-1";#N/A,#N/A,FALSE,"Tabl. A2-2"}</definedName>
    <definedName name="__________tab678" hidden="1">{#N/A,#N/A,FALSE,"Tabl. FB300";#N/A,#N/A,FALSE,"Tabl. FB350";#N/A,#N/A,FALSE,"Tabl. FB400";#N/A,#N/A,FALSE,"Tabl. FB500";#N/A,#N/A,FALSE,"Tabl. FS090"}</definedName>
    <definedName name="__________tab7" hidden="1">{#N/A,#N/A,FALSE,"Tabl. FB300";#N/A,#N/A,FALSE,"Tabl. FB350";#N/A,#N/A,FALSE,"Tabl. FB400";#N/A,#N/A,FALSE,"Tabl. FB500";#N/A,#N/A,FALSE,"Tabl. FS090"}</definedName>
    <definedName name="__________tab78" hidden="1">{#N/A,#N/A,FALSE,"Tabl. D1";#N/A,#N/A,FALSE,"Tabl. D1 b";#N/A,#N/A,FALSE,"Tabl. D2";#N/A,#N/A,FALSE,"Tabl. D2 b";#N/A,#N/A,FALSE,"Tabl. D3";#N/A,#N/A,FALSE,"Tabl. D4";#N/A,#N/A,FALSE,"Tabl. D5"}</definedName>
    <definedName name="__________TAB8" hidden="1">{#N/A,#N/A,FALSE,"Tabl. FB300";#N/A,#N/A,FALSE,"Tabl. FB350";#N/A,#N/A,FALSE,"Tabl. FB400";#N/A,#N/A,FALSE,"Tabl. FB500";#N/A,#N/A,FALSE,"Tabl. FS090"}</definedName>
    <definedName name="__________tab80" hidden="1">{#N/A,#N/A,FALSE,"Tabl. FB300";#N/A,#N/A,FALSE,"Tabl. FB350";#N/A,#N/A,FALSE,"Tabl. FB400";#N/A,#N/A,FALSE,"Tabl. FB500";#N/A,#N/A,FALSE,"Tabl. FS090"}</definedName>
    <definedName name="__________TAB90" hidden="1">{#N/A,#N/A,FALSE,"Tabl. H1";#N/A,#N/A,FALSE,"Tabl. H2"}</definedName>
    <definedName name="__________tab98" hidden="1">{#N/A,#N/A,FALSE,"Tabl. A1";#N/A,#N/A,FALSE,"Tabl. A1 b";#N/A,#N/A,FALSE,"Tabl. A2";#N/A,#N/A,FALSE,"Tabl. A2-1";#N/A,#N/A,FALSE,"Tabl. A2-2"}</definedName>
    <definedName name="__________tab987" hidden="1">{#N/A,#N/A,FALSE,"Tabl. G1";#N/A,#N/A,FALSE,"Tabl. G2"}</definedName>
    <definedName name="_________bat67" hidden="1">{#N/A,#N/A,FALSE,"Tabl. D1";#N/A,#N/A,FALSE,"Tabl. D1 b";#N/A,#N/A,FALSE,"Tabl. D2";#N/A,#N/A,FALSE,"Tabl. D2 b";#N/A,#N/A,FALSE,"Tabl. D3";#N/A,#N/A,FALSE,"Tabl. D4";#N/A,#N/A,FALSE,"Tabl. D5"}</definedName>
    <definedName name="_________New1" hidden="1">{#N/A,#N/A,FALSE,"Aging Summary";#N/A,#N/A,FALSE,"Ratio Analysis";#N/A,#N/A,FALSE,"Test 120 Day Accts";#N/A,#N/A,FALSE,"Tickmarks"}</definedName>
    <definedName name="_________New2" hidden="1">{#N/A,#N/A,FALSE,"Aging Summary";#N/A,#N/A,FALSE,"Ratio Analysis";#N/A,#N/A,FALSE,"Test 120 Day Accts";#N/A,#N/A,FALSE,"Tickmarks"}</definedName>
    <definedName name="_________New3" hidden="1">{#N/A,#N/A,FALSE,"Aging Summary";#N/A,#N/A,FALSE,"Ratio Analysis";#N/A,#N/A,FALSE,"Test 120 Day Accts";#N/A,#N/A,FALSE,"Tickmarks"}</definedName>
    <definedName name="_________New4" hidden="1">{#N/A,#N/A,FALSE,"Aging Summary";#N/A,#N/A,FALSE,"Ratio Analysis";#N/A,#N/A,FALSE,"Test 120 Day Accts";#N/A,#N/A,FALSE,"Tickmarks"}</definedName>
    <definedName name="_________NM09" hidden="1">{#N/A,#N/A,FALSE,"Tabl. D1";#N/A,#N/A,FALSE,"Tabl. D1 b";#N/A,#N/A,FALSE,"Tabl. D2";#N/A,#N/A,FALSE,"Tabl. D2 b";#N/A,#N/A,FALSE,"Tabl. D3";#N/A,#N/A,FALSE,"Tabl. D4";#N/A,#N/A,FALSE,"Tabl. D5"}</definedName>
    <definedName name="_________taa34" hidden="1">{#N/A,#N/A,FALSE,"Tabl. G1";#N/A,#N/A,FALSE,"Tabl. G2"}</definedName>
    <definedName name="_________tab09" hidden="1">{#N/A,#N/A,FALSE,"Tabl. FB300";#N/A,#N/A,FALSE,"Tabl. FB350";#N/A,#N/A,FALSE,"Tabl. FB400";#N/A,#N/A,FALSE,"Tabl. FB500";#N/A,#N/A,FALSE,"Tabl. FS090"}</definedName>
    <definedName name="_________TAB120" hidden="1">{#N/A,#N/A,FALSE,"Tabl. FB300";#N/A,#N/A,FALSE,"Tabl. FB350";#N/A,#N/A,FALSE,"Tabl. FB400";#N/A,#N/A,FALSE,"Tabl. FB500";#N/A,#N/A,FALSE,"Tabl. FS090"}</definedName>
    <definedName name="_________tab14" hidden="1">{#N/A,#N/A,FALSE,"Tabl. FB300";#N/A,#N/A,FALSE,"Tabl. FB350";#N/A,#N/A,FALSE,"Tabl. FB400";#N/A,#N/A,FALSE,"Tabl. FB500";#N/A,#N/A,FALSE,"Tabl. FS090"}</definedName>
    <definedName name="_________tab15" hidden="1">{#N/A,#N/A,FALSE,"Tabl. A1";#N/A,#N/A,FALSE,"Tabl. A1 b";#N/A,#N/A,FALSE,"Tabl. A2";#N/A,#N/A,FALSE,"Tabl. A2-1";#N/A,#N/A,FALSE,"Tabl. A2-2"}</definedName>
    <definedName name="_________TAB20" hidden="1">{#N/A,#N/A,FALSE,"Tabl. D1";#N/A,#N/A,FALSE,"Tabl. D1 b";#N/A,#N/A,FALSE,"Tabl. D2";#N/A,#N/A,FALSE,"Tabl. D2 b";#N/A,#N/A,FALSE,"Tabl. D3";#N/A,#N/A,FALSE,"Tabl. D4";#N/A,#N/A,FALSE,"Tabl. D5"}</definedName>
    <definedName name="_________tab2341" hidden="1">{#N/A,#N/A,FALSE,"Tabl. FB300";#N/A,#N/A,FALSE,"Tabl. FB350";#N/A,#N/A,FALSE,"Tabl. FB400";#N/A,#N/A,FALSE,"Tabl. FB500";#N/A,#N/A,FALSE,"Tabl. FS090"}</definedName>
    <definedName name="_________tab26" hidden="1">{#N/A,#N/A,FALSE,"Tabl. H1";#N/A,#N/A,FALSE,"Tabl. H2"}</definedName>
    <definedName name="_________tab27" hidden="1">{#N/A,#N/A,FALSE,"Tabl. D1";#N/A,#N/A,FALSE,"Tabl. D1 b";#N/A,#N/A,FALSE,"Tabl. D2";#N/A,#N/A,FALSE,"Tabl. D2 b";#N/A,#N/A,FALSE,"Tabl. D3";#N/A,#N/A,FALSE,"Tabl. D4";#N/A,#N/A,FALSE,"Tabl. D5"}</definedName>
    <definedName name="_________TAB3" hidden="1">{#N/A,#N/A,FALSE,"Tabl. FB300";#N/A,#N/A,FALSE,"Tabl. FB350";#N/A,#N/A,FALSE,"Tabl. FB400";#N/A,#N/A,FALSE,"Tabl. FB500";#N/A,#N/A,FALSE,"Tabl. FS090"}</definedName>
    <definedName name="_________tab32" hidden="1">{#N/A,#N/A,FALSE,"Tabl. H1";#N/A,#N/A,FALSE,"Tabl. H2"}</definedName>
    <definedName name="_________tab36" hidden="1">{#N/A,#N/A,FALSE,"Tabl. A1";#N/A,#N/A,FALSE,"Tabl. A1 b";#N/A,#N/A,FALSE,"Tabl. A2";#N/A,#N/A,FALSE,"Tabl. A2-1";#N/A,#N/A,FALSE,"Tabl. A2-2"}</definedName>
    <definedName name="_________tab37" hidden="1">{#N/A,#N/A,FALSE,"Tabl. G1";#N/A,#N/A,FALSE,"Tabl. G2"}</definedName>
    <definedName name="_________tab4" hidden="1">{#N/A,#N/A,FALSE,"Tabl. FB300";#N/A,#N/A,FALSE,"Tabl. FB350";#N/A,#N/A,FALSE,"Tabl. FB400";#N/A,#N/A,FALSE,"Tabl. FB500";#N/A,#N/A,FALSE,"Tabl. FS090"}</definedName>
    <definedName name="_________tab40" hidden="1">{#N/A,#N/A,FALSE,"Tabl. FB300";#N/A,#N/A,FALSE,"Tabl. FB350";#N/A,#N/A,FALSE,"Tabl. FB400";#N/A,#N/A,FALSE,"Tabl. FB500";#N/A,#N/A,FALSE,"Tabl. FS090"}</definedName>
    <definedName name="_________tab43" hidden="1">{#N/A,#N/A,FALSE,"Tabl. D1";#N/A,#N/A,FALSE,"Tabl. D1 b";#N/A,#N/A,FALSE,"Tabl. D2";#N/A,#N/A,FALSE,"Tabl. D2 b";#N/A,#N/A,FALSE,"Tabl. D3";#N/A,#N/A,FALSE,"Tabl. D4";#N/A,#N/A,FALSE,"Tabl. D5"}</definedName>
    <definedName name="_________tab45" hidden="1">{#N/A,#N/A,FALSE,"Tabl. A1";#N/A,#N/A,FALSE,"Tabl. A1 b";#N/A,#N/A,FALSE,"Tabl. A2";#N/A,#N/A,FALSE,"Tabl. A2-1";#N/A,#N/A,FALSE,"Tabl. A2-2"}</definedName>
    <definedName name="_________tab5" hidden="1">{#N/A,#N/A,FALSE,"Tabl. FB300";#N/A,#N/A,FALSE,"Tabl. FB350";#N/A,#N/A,FALSE,"Tabl. FB400";#N/A,#N/A,FALSE,"Tabl. FB500";#N/A,#N/A,FALSE,"Tabl. FS090"}</definedName>
    <definedName name="_________tab653" hidden="1">{#N/A,#N/A,FALSE,"Tabl. G1";#N/A,#N/A,FALSE,"Tabl. G2"}</definedName>
    <definedName name="_________TAB67" hidden="1">{#N/A,#N/A,FALSE,"Tabl. A1";#N/A,#N/A,FALSE,"Tabl. A1 b";#N/A,#N/A,FALSE,"Tabl. A2";#N/A,#N/A,FALSE,"Tabl. A2-1";#N/A,#N/A,FALSE,"Tabl. A2-2"}</definedName>
    <definedName name="_________tab678" hidden="1">{#N/A,#N/A,FALSE,"Tabl. FB300";#N/A,#N/A,FALSE,"Tabl. FB350";#N/A,#N/A,FALSE,"Tabl. FB400";#N/A,#N/A,FALSE,"Tabl. FB500";#N/A,#N/A,FALSE,"Tabl. FS090"}</definedName>
    <definedName name="_________tab7" hidden="1">{#N/A,#N/A,FALSE,"Tabl. FB300";#N/A,#N/A,FALSE,"Tabl. FB350";#N/A,#N/A,FALSE,"Tabl. FB400";#N/A,#N/A,FALSE,"Tabl. FB500";#N/A,#N/A,FALSE,"Tabl. FS090"}</definedName>
    <definedName name="_________tab78" hidden="1">{#N/A,#N/A,FALSE,"Tabl. D1";#N/A,#N/A,FALSE,"Tabl. D1 b";#N/A,#N/A,FALSE,"Tabl. D2";#N/A,#N/A,FALSE,"Tabl. D2 b";#N/A,#N/A,FALSE,"Tabl. D3";#N/A,#N/A,FALSE,"Tabl. D4";#N/A,#N/A,FALSE,"Tabl. D5"}</definedName>
    <definedName name="_________TAB8" hidden="1">{#N/A,#N/A,FALSE,"Tabl. FB300";#N/A,#N/A,FALSE,"Tabl. FB350";#N/A,#N/A,FALSE,"Tabl. FB400";#N/A,#N/A,FALSE,"Tabl. FB500";#N/A,#N/A,FALSE,"Tabl. FS090"}</definedName>
    <definedName name="_________tab80" hidden="1">{#N/A,#N/A,FALSE,"Tabl. FB300";#N/A,#N/A,FALSE,"Tabl. FB350";#N/A,#N/A,FALSE,"Tabl. FB400";#N/A,#N/A,FALSE,"Tabl. FB500";#N/A,#N/A,FALSE,"Tabl. FS090"}</definedName>
    <definedName name="_________TAB90" hidden="1">{#N/A,#N/A,FALSE,"Tabl. H1";#N/A,#N/A,FALSE,"Tabl. H2"}</definedName>
    <definedName name="_________tab98" hidden="1">{#N/A,#N/A,FALSE,"Tabl. A1";#N/A,#N/A,FALSE,"Tabl. A1 b";#N/A,#N/A,FALSE,"Tabl. A2";#N/A,#N/A,FALSE,"Tabl. A2-1";#N/A,#N/A,FALSE,"Tabl. A2-2"}</definedName>
    <definedName name="_________tab987" hidden="1">{#N/A,#N/A,FALSE,"Tabl. G1";#N/A,#N/A,FALSE,"Tabl. G2"}</definedName>
    <definedName name="________bat67" hidden="1">{#N/A,#N/A,FALSE,"Tabl. D1";#N/A,#N/A,FALSE,"Tabl. D1 b";#N/A,#N/A,FALSE,"Tabl. D2";#N/A,#N/A,FALSE,"Tabl. D2 b";#N/A,#N/A,FALSE,"Tabl. D3";#N/A,#N/A,FALSE,"Tabl. D4";#N/A,#N/A,FALSE,"Tabl. D5"}</definedName>
    <definedName name="________New1" hidden="1">{#N/A,#N/A,FALSE,"Aging Summary";#N/A,#N/A,FALSE,"Ratio Analysis";#N/A,#N/A,FALSE,"Test 120 Day Accts";#N/A,#N/A,FALSE,"Tickmarks"}</definedName>
    <definedName name="________New2" hidden="1">{#N/A,#N/A,FALSE,"Aging Summary";#N/A,#N/A,FALSE,"Ratio Analysis";#N/A,#N/A,FALSE,"Test 120 Day Accts";#N/A,#N/A,FALSE,"Tickmarks"}</definedName>
    <definedName name="________New3" hidden="1">{#N/A,#N/A,FALSE,"Aging Summary";#N/A,#N/A,FALSE,"Ratio Analysis";#N/A,#N/A,FALSE,"Test 120 Day Accts";#N/A,#N/A,FALSE,"Tickmarks"}</definedName>
    <definedName name="________New4" hidden="1">{#N/A,#N/A,FALSE,"Aging Summary";#N/A,#N/A,FALSE,"Ratio Analysis";#N/A,#N/A,FALSE,"Test 120 Day Accts";#N/A,#N/A,FALSE,"Tickmarks"}</definedName>
    <definedName name="________NM09" hidden="1">{#N/A,#N/A,FALSE,"Tabl. D1";#N/A,#N/A,FALSE,"Tabl. D1 b";#N/A,#N/A,FALSE,"Tabl. D2";#N/A,#N/A,FALSE,"Tabl. D2 b";#N/A,#N/A,FALSE,"Tabl. D3";#N/A,#N/A,FALSE,"Tabl. D4";#N/A,#N/A,FALSE,"Tabl. D5"}</definedName>
    <definedName name="________taa34" hidden="1">{#N/A,#N/A,FALSE,"Tabl. G1";#N/A,#N/A,FALSE,"Tabl. G2"}</definedName>
    <definedName name="________tab09" hidden="1">{#N/A,#N/A,FALSE,"Tabl. FB300";#N/A,#N/A,FALSE,"Tabl. FB350";#N/A,#N/A,FALSE,"Tabl. FB400";#N/A,#N/A,FALSE,"Tabl. FB500";#N/A,#N/A,FALSE,"Tabl. FS090"}</definedName>
    <definedName name="________TAB120" hidden="1">{#N/A,#N/A,FALSE,"Tabl. FB300";#N/A,#N/A,FALSE,"Tabl. FB350";#N/A,#N/A,FALSE,"Tabl. FB400";#N/A,#N/A,FALSE,"Tabl. FB500";#N/A,#N/A,FALSE,"Tabl. FS090"}</definedName>
    <definedName name="________tab14" hidden="1">{#N/A,#N/A,FALSE,"Tabl. FB300";#N/A,#N/A,FALSE,"Tabl. FB350";#N/A,#N/A,FALSE,"Tabl. FB400";#N/A,#N/A,FALSE,"Tabl. FB500";#N/A,#N/A,FALSE,"Tabl. FS090"}</definedName>
    <definedName name="________tab15" hidden="1">{#N/A,#N/A,FALSE,"Tabl. A1";#N/A,#N/A,FALSE,"Tabl. A1 b";#N/A,#N/A,FALSE,"Tabl. A2";#N/A,#N/A,FALSE,"Tabl. A2-1";#N/A,#N/A,FALSE,"Tabl. A2-2"}</definedName>
    <definedName name="________TAB20" hidden="1">{#N/A,#N/A,FALSE,"Tabl. D1";#N/A,#N/A,FALSE,"Tabl. D1 b";#N/A,#N/A,FALSE,"Tabl. D2";#N/A,#N/A,FALSE,"Tabl. D2 b";#N/A,#N/A,FALSE,"Tabl. D3";#N/A,#N/A,FALSE,"Tabl. D4";#N/A,#N/A,FALSE,"Tabl. D5"}</definedName>
    <definedName name="________tab2341" hidden="1">{#N/A,#N/A,FALSE,"Tabl. FB300";#N/A,#N/A,FALSE,"Tabl. FB350";#N/A,#N/A,FALSE,"Tabl. FB400";#N/A,#N/A,FALSE,"Tabl. FB500";#N/A,#N/A,FALSE,"Tabl. FS090"}</definedName>
    <definedName name="________tab26" hidden="1">{#N/A,#N/A,FALSE,"Tabl. H1";#N/A,#N/A,FALSE,"Tabl. H2"}</definedName>
    <definedName name="________tab27" hidden="1">{#N/A,#N/A,FALSE,"Tabl. D1";#N/A,#N/A,FALSE,"Tabl. D1 b";#N/A,#N/A,FALSE,"Tabl. D2";#N/A,#N/A,FALSE,"Tabl. D2 b";#N/A,#N/A,FALSE,"Tabl. D3";#N/A,#N/A,FALSE,"Tabl. D4";#N/A,#N/A,FALSE,"Tabl. D5"}</definedName>
    <definedName name="________TAB3" hidden="1">{#N/A,#N/A,FALSE,"Tabl. FB300";#N/A,#N/A,FALSE,"Tabl. FB350";#N/A,#N/A,FALSE,"Tabl. FB400";#N/A,#N/A,FALSE,"Tabl. FB500";#N/A,#N/A,FALSE,"Tabl. FS090"}</definedName>
    <definedName name="________tab32" hidden="1">{#N/A,#N/A,FALSE,"Tabl. H1";#N/A,#N/A,FALSE,"Tabl. H2"}</definedName>
    <definedName name="________tab36" hidden="1">{#N/A,#N/A,FALSE,"Tabl. A1";#N/A,#N/A,FALSE,"Tabl. A1 b";#N/A,#N/A,FALSE,"Tabl. A2";#N/A,#N/A,FALSE,"Tabl. A2-1";#N/A,#N/A,FALSE,"Tabl. A2-2"}</definedName>
    <definedName name="________tab37" hidden="1">{#N/A,#N/A,FALSE,"Tabl. G1";#N/A,#N/A,FALSE,"Tabl. G2"}</definedName>
    <definedName name="________tab4" hidden="1">{#N/A,#N/A,FALSE,"Tabl. FB300";#N/A,#N/A,FALSE,"Tabl. FB350";#N/A,#N/A,FALSE,"Tabl. FB400";#N/A,#N/A,FALSE,"Tabl. FB500";#N/A,#N/A,FALSE,"Tabl. FS090"}</definedName>
    <definedName name="________tab40" hidden="1">{#N/A,#N/A,FALSE,"Tabl. FB300";#N/A,#N/A,FALSE,"Tabl. FB350";#N/A,#N/A,FALSE,"Tabl. FB400";#N/A,#N/A,FALSE,"Tabl. FB500";#N/A,#N/A,FALSE,"Tabl. FS090"}</definedName>
    <definedName name="________tab43" hidden="1">{#N/A,#N/A,FALSE,"Tabl. D1";#N/A,#N/A,FALSE,"Tabl. D1 b";#N/A,#N/A,FALSE,"Tabl. D2";#N/A,#N/A,FALSE,"Tabl. D2 b";#N/A,#N/A,FALSE,"Tabl. D3";#N/A,#N/A,FALSE,"Tabl. D4";#N/A,#N/A,FALSE,"Tabl. D5"}</definedName>
    <definedName name="________tab45" hidden="1">{#N/A,#N/A,FALSE,"Tabl. A1";#N/A,#N/A,FALSE,"Tabl. A1 b";#N/A,#N/A,FALSE,"Tabl. A2";#N/A,#N/A,FALSE,"Tabl. A2-1";#N/A,#N/A,FALSE,"Tabl. A2-2"}</definedName>
    <definedName name="________tab5" hidden="1">{#N/A,#N/A,FALSE,"Tabl. FB300";#N/A,#N/A,FALSE,"Tabl. FB350";#N/A,#N/A,FALSE,"Tabl. FB400";#N/A,#N/A,FALSE,"Tabl. FB500";#N/A,#N/A,FALSE,"Tabl. FS090"}</definedName>
    <definedName name="________tab653" hidden="1">{#N/A,#N/A,FALSE,"Tabl. G1";#N/A,#N/A,FALSE,"Tabl. G2"}</definedName>
    <definedName name="________TAB67" hidden="1">{#N/A,#N/A,FALSE,"Tabl. A1";#N/A,#N/A,FALSE,"Tabl. A1 b";#N/A,#N/A,FALSE,"Tabl. A2";#N/A,#N/A,FALSE,"Tabl. A2-1";#N/A,#N/A,FALSE,"Tabl. A2-2"}</definedName>
    <definedName name="________tab678" hidden="1">{#N/A,#N/A,FALSE,"Tabl. FB300";#N/A,#N/A,FALSE,"Tabl. FB350";#N/A,#N/A,FALSE,"Tabl. FB400";#N/A,#N/A,FALSE,"Tabl. FB500";#N/A,#N/A,FALSE,"Tabl. FS090"}</definedName>
    <definedName name="________tab7" hidden="1">{#N/A,#N/A,FALSE,"Tabl. FB300";#N/A,#N/A,FALSE,"Tabl. FB350";#N/A,#N/A,FALSE,"Tabl. FB400";#N/A,#N/A,FALSE,"Tabl. FB500";#N/A,#N/A,FALSE,"Tabl. FS090"}</definedName>
    <definedName name="________tab78" hidden="1">{#N/A,#N/A,FALSE,"Tabl. D1";#N/A,#N/A,FALSE,"Tabl. D1 b";#N/A,#N/A,FALSE,"Tabl. D2";#N/A,#N/A,FALSE,"Tabl. D2 b";#N/A,#N/A,FALSE,"Tabl. D3";#N/A,#N/A,FALSE,"Tabl. D4";#N/A,#N/A,FALSE,"Tabl. D5"}</definedName>
    <definedName name="________TAB8" hidden="1">{#N/A,#N/A,FALSE,"Tabl. FB300";#N/A,#N/A,FALSE,"Tabl. FB350";#N/A,#N/A,FALSE,"Tabl. FB400";#N/A,#N/A,FALSE,"Tabl. FB500";#N/A,#N/A,FALSE,"Tabl. FS090"}</definedName>
    <definedName name="________tab80" hidden="1">{#N/A,#N/A,FALSE,"Tabl. FB300";#N/A,#N/A,FALSE,"Tabl. FB350";#N/A,#N/A,FALSE,"Tabl. FB400";#N/A,#N/A,FALSE,"Tabl. FB500";#N/A,#N/A,FALSE,"Tabl. FS090"}</definedName>
    <definedName name="________TAB90" hidden="1">{#N/A,#N/A,FALSE,"Tabl. H1";#N/A,#N/A,FALSE,"Tabl. H2"}</definedName>
    <definedName name="________tab98" hidden="1">{#N/A,#N/A,FALSE,"Tabl. A1";#N/A,#N/A,FALSE,"Tabl. A1 b";#N/A,#N/A,FALSE,"Tabl. A2";#N/A,#N/A,FALSE,"Tabl. A2-1";#N/A,#N/A,FALSE,"Tabl. A2-2"}</definedName>
    <definedName name="________tab987" hidden="1">{#N/A,#N/A,FALSE,"Tabl. G1";#N/A,#N/A,FALSE,"Tabl. G2"}</definedName>
    <definedName name="_______bat67" hidden="1">{#N/A,#N/A,FALSE,"Tabl. D1";#N/A,#N/A,FALSE,"Tabl. D1 b";#N/A,#N/A,FALSE,"Tabl. D2";#N/A,#N/A,FALSE,"Tabl. D2 b";#N/A,#N/A,FALSE,"Tabl. D3";#N/A,#N/A,FALSE,"Tabl. D4";#N/A,#N/A,FALSE,"Tabl. D5"}</definedName>
    <definedName name="_______New1" hidden="1">{#N/A,#N/A,FALSE,"Aging Summary";#N/A,#N/A,FALSE,"Ratio Analysis";#N/A,#N/A,FALSE,"Test 120 Day Accts";#N/A,#N/A,FALSE,"Tickmarks"}</definedName>
    <definedName name="_______New2" hidden="1">{#N/A,#N/A,FALSE,"Aging Summary";#N/A,#N/A,FALSE,"Ratio Analysis";#N/A,#N/A,FALSE,"Test 120 Day Accts";#N/A,#N/A,FALSE,"Tickmarks"}</definedName>
    <definedName name="_______New3" hidden="1">{#N/A,#N/A,FALSE,"Aging Summary";#N/A,#N/A,FALSE,"Ratio Analysis";#N/A,#N/A,FALSE,"Test 120 Day Accts";#N/A,#N/A,FALSE,"Tickmarks"}</definedName>
    <definedName name="_______New4" hidden="1">{#N/A,#N/A,FALSE,"Aging Summary";#N/A,#N/A,FALSE,"Ratio Analysis";#N/A,#N/A,FALSE,"Test 120 Day Accts";#N/A,#N/A,FALSE,"Tickmarks"}</definedName>
    <definedName name="_______NM09" hidden="1">{#N/A,#N/A,FALSE,"Tabl. D1";#N/A,#N/A,FALSE,"Tabl. D1 b";#N/A,#N/A,FALSE,"Tabl. D2";#N/A,#N/A,FALSE,"Tabl. D2 b";#N/A,#N/A,FALSE,"Tabl. D3";#N/A,#N/A,FALSE,"Tabl. D4";#N/A,#N/A,FALSE,"Tabl. D5"}</definedName>
    <definedName name="_______taa34" hidden="1">{#N/A,#N/A,FALSE,"Tabl. G1";#N/A,#N/A,FALSE,"Tabl. G2"}</definedName>
    <definedName name="_______tab09" hidden="1">{#N/A,#N/A,FALSE,"Tabl. FB300";#N/A,#N/A,FALSE,"Tabl. FB350";#N/A,#N/A,FALSE,"Tabl. FB400";#N/A,#N/A,FALSE,"Tabl. FB500";#N/A,#N/A,FALSE,"Tabl. FS090"}</definedName>
    <definedName name="_______TAB120" hidden="1">{#N/A,#N/A,FALSE,"Tabl. FB300";#N/A,#N/A,FALSE,"Tabl. FB350";#N/A,#N/A,FALSE,"Tabl. FB400";#N/A,#N/A,FALSE,"Tabl. FB500";#N/A,#N/A,FALSE,"Tabl. FS090"}</definedName>
    <definedName name="_______tab14" hidden="1">{#N/A,#N/A,FALSE,"Tabl. FB300";#N/A,#N/A,FALSE,"Tabl. FB350";#N/A,#N/A,FALSE,"Tabl. FB400";#N/A,#N/A,FALSE,"Tabl. FB500";#N/A,#N/A,FALSE,"Tabl. FS090"}</definedName>
    <definedName name="_______tab15" hidden="1">{#N/A,#N/A,FALSE,"Tabl. A1";#N/A,#N/A,FALSE,"Tabl. A1 b";#N/A,#N/A,FALSE,"Tabl. A2";#N/A,#N/A,FALSE,"Tabl. A2-1";#N/A,#N/A,FALSE,"Tabl. A2-2"}</definedName>
    <definedName name="_______TAB20" hidden="1">{#N/A,#N/A,FALSE,"Tabl. D1";#N/A,#N/A,FALSE,"Tabl. D1 b";#N/A,#N/A,FALSE,"Tabl. D2";#N/A,#N/A,FALSE,"Tabl. D2 b";#N/A,#N/A,FALSE,"Tabl. D3";#N/A,#N/A,FALSE,"Tabl. D4";#N/A,#N/A,FALSE,"Tabl. D5"}</definedName>
    <definedName name="_______tab2341" hidden="1">{#N/A,#N/A,FALSE,"Tabl. FB300";#N/A,#N/A,FALSE,"Tabl. FB350";#N/A,#N/A,FALSE,"Tabl. FB400";#N/A,#N/A,FALSE,"Tabl. FB500";#N/A,#N/A,FALSE,"Tabl. FS090"}</definedName>
    <definedName name="_______tab26" hidden="1">{#N/A,#N/A,FALSE,"Tabl. H1";#N/A,#N/A,FALSE,"Tabl. H2"}</definedName>
    <definedName name="_______tab27" hidden="1">{#N/A,#N/A,FALSE,"Tabl. D1";#N/A,#N/A,FALSE,"Tabl. D1 b";#N/A,#N/A,FALSE,"Tabl. D2";#N/A,#N/A,FALSE,"Tabl. D2 b";#N/A,#N/A,FALSE,"Tabl. D3";#N/A,#N/A,FALSE,"Tabl. D4";#N/A,#N/A,FALSE,"Tabl. D5"}</definedName>
    <definedName name="_______TAB3" hidden="1">{#N/A,#N/A,FALSE,"Tabl. FB300";#N/A,#N/A,FALSE,"Tabl. FB350";#N/A,#N/A,FALSE,"Tabl. FB400";#N/A,#N/A,FALSE,"Tabl. FB500";#N/A,#N/A,FALSE,"Tabl. FS090"}</definedName>
    <definedName name="_______tab32" hidden="1">{#N/A,#N/A,FALSE,"Tabl. H1";#N/A,#N/A,FALSE,"Tabl. H2"}</definedName>
    <definedName name="_______tab36" hidden="1">{#N/A,#N/A,FALSE,"Tabl. A1";#N/A,#N/A,FALSE,"Tabl. A1 b";#N/A,#N/A,FALSE,"Tabl. A2";#N/A,#N/A,FALSE,"Tabl. A2-1";#N/A,#N/A,FALSE,"Tabl. A2-2"}</definedName>
    <definedName name="_______tab37" hidden="1">{#N/A,#N/A,FALSE,"Tabl. G1";#N/A,#N/A,FALSE,"Tabl. G2"}</definedName>
    <definedName name="_______tab4" hidden="1">{#N/A,#N/A,FALSE,"Tabl. FB300";#N/A,#N/A,FALSE,"Tabl. FB350";#N/A,#N/A,FALSE,"Tabl. FB400";#N/A,#N/A,FALSE,"Tabl. FB500";#N/A,#N/A,FALSE,"Tabl. FS090"}</definedName>
    <definedName name="_______tab40" hidden="1">{#N/A,#N/A,FALSE,"Tabl. FB300";#N/A,#N/A,FALSE,"Tabl. FB350";#N/A,#N/A,FALSE,"Tabl. FB400";#N/A,#N/A,FALSE,"Tabl. FB500";#N/A,#N/A,FALSE,"Tabl. FS090"}</definedName>
    <definedName name="_______tab43" hidden="1">{#N/A,#N/A,FALSE,"Tabl. D1";#N/A,#N/A,FALSE,"Tabl. D1 b";#N/A,#N/A,FALSE,"Tabl. D2";#N/A,#N/A,FALSE,"Tabl. D2 b";#N/A,#N/A,FALSE,"Tabl. D3";#N/A,#N/A,FALSE,"Tabl. D4";#N/A,#N/A,FALSE,"Tabl. D5"}</definedName>
    <definedName name="_______tab45" hidden="1">{#N/A,#N/A,FALSE,"Tabl. A1";#N/A,#N/A,FALSE,"Tabl. A1 b";#N/A,#N/A,FALSE,"Tabl. A2";#N/A,#N/A,FALSE,"Tabl. A2-1";#N/A,#N/A,FALSE,"Tabl. A2-2"}</definedName>
    <definedName name="_______tab5" hidden="1">{#N/A,#N/A,FALSE,"Tabl. FB300";#N/A,#N/A,FALSE,"Tabl. FB350";#N/A,#N/A,FALSE,"Tabl. FB400";#N/A,#N/A,FALSE,"Tabl. FB500";#N/A,#N/A,FALSE,"Tabl. FS090"}</definedName>
    <definedName name="_______tab653" hidden="1">{#N/A,#N/A,FALSE,"Tabl. G1";#N/A,#N/A,FALSE,"Tabl. G2"}</definedName>
    <definedName name="_______TAB67" hidden="1">{#N/A,#N/A,FALSE,"Tabl. A1";#N/A,#N/A,FALSE,"Tabl. A1 b";#N/A,#N/A,FALSE,"Tabl. A2";#N/A,#N/A,FALSE,"Tabl. A2-1";#N/A,#N/A,FALSE,"Tabl. A2-2"}</definedName>
    <definedName name="_______tab678" hidden="1">{#N/A,#N/A,FALSE,"Tabl. FB300";#N/A,#N/A,FALSE,"Tabl. FB350";#N/A,#N/A,FALSE,"Tabl. FB400";#N/A,#N/A,FALSE,"Tabl. FB500";#N/A,#N/A,FALSE,"Tabl. FS090"}</definedName>
    <definedName name="_______tab7" hidden="1">{#N/A,#N/A,FALSE,"Tabl. FB300";#N/A,#N/A,FALSE,"Tabl. FB350";#N/A,#N/A,FALSE,"Tabl. FB400";#N/A,#N/A,FALSE,"Tabl. FB500";#N/A,#N/A,FALSE,"Tabl. FS090"}</definedName>
    <definedName name="_______tab78" hidden="1">{#N/A,#N/A,FALSE,"Tabl. D1";#N/A,#N/A,FALSE,"Tabl. D1 b";#N/A,#N/A,FALSE,"Tabl. D2";#N/A,#N/A,FALSE,"Tabl. D2 b";#N/A,#N/A,FALSE,"Tabl. D3";#N/A,#N/A,FALSE,"Tabl. D4";#N/A,#N/A,FALSE,"Tabl. D5"}</definedName>
    <definedName name="_______TAB8" hidden="1">{#N/A,#N/A,FALSE,"Tabl. FB300";#N/A,#N/A,FALSE,"Tabl. FB350";#N/A,#N/A,FALSE,"Tabl. FB400";#N/A,#N/A,FALSE,"Tabl. FB500";#N/A,#N/A,FALSE,"Tabl. FS090"}</definedName>
    <definedName name="_______tab80" hidden="1">{#N/A,#N/A,FALSE,"Tabl. FB300";#N/A,#N/A,FALSE,"Tabl. FB350";#N/A,#N/A,FALSE,"Tabl. FB400";#N/A,#N/A,FALSE,"Tabl. FB500";#N/A,#N/A,FALSE,"Tabl. FS090"}</definedName>
    <definedName name="_______TAB90" hidden="1">{#N/A,#N/A,FALSE,"Tabl. H1";#N/A,#N/A,FALSE,"Tabl. H2"}</definedName>
    <definedName name="_______tab98" hidden="1">{#N/A,#N/A,FALSE,"Tabl. A1";#N/A,#N/A,FALSE,"Tabl. A1 b";#N/A,#N/A,FALSE,"Tabl. A2";#N/A,#N/A,FALSE,"Tabl. A2-1";#N/A,#N/A,FALSE,"Tabl. A2-2"}</definedName>
    <definedName name="_______tab987" hidden="1">{#N/A,#N/A,FALSE,"Tabl. G1";#N/A,#N/A,FALSE,"Tabl. G2"}</definedName>
    <definedName name="_____bat67" hidden="1">{#N/A,#N/A,FALSE,"Tabl. D1";#N/A,#N/A,FALSE,"Tabl. D1 b";#N/A,#N/A,FALSE,"Tabl. D2";#N/A,#N/A,FALSE,"Tabl. D2 b";#N/A,#N/A,FALSE,"Tabl. D3";#N/A,#N/A,FALSE,"Tabl. D4";#N/A,#N/A,FALSE,"Tabl. D5"}</definedName>
    <definedName name="_____New1" hidden="1">{#N/A,#N/A,FALSE,"Aging Summary";#N/A,#N/A,FALSE,"Ratio Analysis";#N/A,#N/A,FALSE,"Test 120 Day Accts";#N/A,#N/A,FALSE,"Tickmarks"}</definedName>
    <definedName name="_____New2" hidden="1">{#N/A,#N/A,FALSE,"Aging Summary";#N/A,#N/A,FALSE,"Ratio Analysis";#N/A,#N/A,FALSE,"Test 120 Day Accts";#N/A,#N/A,FALSE,"Tickmarks"}</definedName>
    <definedName name="_____New3" hidden="1">{#N/A,#N/A,FALSE,"Aging Summary";#N/A,#N/A,FALSE,"Ratio Analysis";#N/A,#N/A,FALSE,"Test 120 Day Accts";#N/A,#N/A,FALSE,"Tickmarks"}</definedName>
    <definedName name="_____New4" hidden="1">{#N/A,#N/A,FALSE,"Aging Summary";#N/A,#N/A,FALSE,"Ratio Analysis";#N/A,#N/A,FALSE,"Test 120 Day Accts";#N/A,#N/A,FALSE,"Tickmarks"}</definedName>
    <definedName name="_____NM09" hidden="1">{#N/A,#N/A,FALSE,"Tabl. D1";#N/A,#N/A,FALSE,"Tabl. D1 b";#N/A,#N/A,FALSE,"Tabl. D2";#N/A,#N/A,FALSE,"Tabl. D2 b";#N/A,#N/A,FALSE,"Tabl. D3";#N/A,#N/A,FALSE,"Tabl. D4";#N/A,#N/A,FALSE,"Tabl. D5"}</definedName>
    <definedName name="_____taa34" hidden="1">{#N/A,#N/A,FALSE,"Tabl. G1";#N/A,#N/A,FALSE,"Tabl. G2"}</definedName>
    <definedName name="_____tab09" hidden="1">{#N/A,#N/A,FALSE,"Tabl. FB300";#N/A,#N/A,FALSE,"Tabl. FB350";#N/A,#N/A,FALSE,"Tabl. FB400";#N/A,#N/A,FALSE,"Tabl. FB500";#N/A,#N/A,FALSE,"Tabl. FS090"}</definedName>
    <definedName name="_____TAB120" hidden="1">{#N/A,#N/A,FALSE,"Tabl. FB300";#N/A,#N/A,FALSE,"Tabl. FB350";#N/A,#N/A,FALSE,"Tabl. FB400";#N/A,#N/A,FALSE,"Tabl. FB500";#N/A,#N/A,FALSE,"Tabl. FS090"}</definedName>
    <definedName name="_____tab14" hidden="1">{#N/A,#N/A,FALSE,"Tabl. FB300";#N/A,#N/A,FALSE,"Tabl. FB350";#N/A,#N/A,FALSE,"Tabl. FB400";#N/A,#N/A,FALSE,"Tabl. FB500";#N/A,#N/A,FALSE,"Tabl. FS090"}</definedName>
    <definedName name="_____tab15" hidden="1">{#N/A,#N/A,FALSE,"Tabl. A1";#N/A,#N/A,FALSE,"Tabl. A1 b";#N/A,#N/A,FALSE,"Tabl. A2";#N/A,#N/A,FALSE,"Tabl. A2-1";#N/A,#N/A,FALSE,"Tabl. A2-2"}</definedName>
    <definedName name="_____TAB20" hidden="1">{#N/A,#N/A,FALSE,"Tabl. D1";#N/A,#N/A,FALSE,"Tabl. D1 b";#N/A,#N/A,FALSE,"Tabl. D2";#N/A,#N/A,FALSE,"Tabl. D2 b";#N/A,#N/A,FALSE,"Tabl. D3";#N/A,#N/A,FALSE,"Tabl. D4";#N/A,#N/A,FALSE,"Tabl. D5"}</definedName>
    <definedName name="_____tab2341" hidden="1">{#N/A,#N/A,FALSE,"Tabl. FB300";#N/A,#N/A,FALSE,"Tabl. FB350";#N/A,#N/A,FALSE,"Tabl. FB400";#N/A,#N/A,FALSE,"Tabl. FB500";#N/A,#N/A,FALSE,"Tabl. FS090"}</definedName>
    <definedName name="_____tab26" hidden="1">{#N/A,#N/A,FALSE,"Tabl. H1";#N/A,#N/A,FALSE,"Tabl. H2"}</definedName>
    <definedName name="_____tab27" hidden="1">{#N/A,#N/A,FALSE,"Tabl. D1";#N/A,#N/A,FALSE,"Tabl. D1 b";#N/A,#N/A,FALSE,"Tabl. D2";#N/A,#N/A,FALSE,"Tabl. D2 b";#N/A,#N/A,FALSE,"Tabl. D3";#N/A,#N/A,FALSE,"Tabl. D4";#N/A,#N/A,FALSE,"Tabl. D5"}</definedName>
    <definedName name="_____TAB3" hidden="1">{#N/A,#N/A,FALSE,"Tabl. FB300";#N/A,#N/A,FALSE,"Tabl. FB350";#N/A,#N/A,FALSE,"Tabl. FB400";#N/A,#N/A,FALSE,"Tabl. FB500";#N/A,#N/A,FALSE,"Tabl. FS090"}</definedName>
    <definedName name="_____tab32" hidden="1">{#N/A,#N/A,FALSE,"Tabl. H1";#N/A,#N/A,FALSE,"Tabl. H2"}</definedName>
    <definedName name="_____tab36" hidden="1">{#N/A,#N/A,FALSE,"Tabl. A1";#N/A,#N/A,FALSE,"Tabl. A1 b";#N/A,#N/A,FALSE,"Tabl. A2";#N/A,#N/A,FALSE,"Tabl. A2-1";#N/A,#N/A,FALSE,"Tabl. A2-2"}</definedName>
    <definedName name="_____tab37" hidden="1">{#N/A,#N/A,FALSE,"Tabl. G1";#N/A,#N/A,FALSE,"Tabl. G2"}</definedName>
    <definedName name="_____tab4" hidden="1">{#N/A,#N/A,FALSE,"Tabl. FB300";#N/A,#N/A,FALSE,"Tabl. FB350";#N/A,#N/A,FALSE,"Tabl. FB400";#N/A,#N/A,FALSE,"Tabl. FB500";#N/A,#N/A,FALSE,"Tabl. FS090"}</definedName>
    <definedName name="_____tab40" hidden="1">{#N/A,#N/A,FALSE,"Tabl. FB300";#N/A,#N/A,FALSE,"Tabl. FB350";#N/A,#N/A,FALSE,"Tabl. FB400";#N/A,#N/A,FALSE,"Tabl. FB500";#N/A,#N/A,FALSE,"Tabl. FS090"}</definedName>
    <definedName name="_____tab43" hidden="1">{#N/A,#N/A,FALSE,"Tabl. D1";#N/A,#N/A,FALSE,"Tabl. D1 b";#N/A,#N/A,FALSE,"Tabl. D2";#N/A,#N/A,FALSE,"Tabl. D2 b";#N/A,#N/A,FALSE,"Tabl. D3";#N/A,#N/A,FALSE,"Tabl. D4";#N/A,#N/A,FALSE,"Tabl. D5"}</definedName>
    <definedName name="_____tab45" hidden="1">{#N/A,#N/A,FALSE,"Tabl. A1";#N/A,#N/A,FALSE,"Tabl. A1 b";#N/A,#N/A,FALSE,"Tabl. A2";#N/A,#N/A,FALSE,"Tabl. A2-1";#N/A,#N/A,FALSE,"Tabl. A2-2"}</definedName>
    <definedName name="_____tab5" hidden="1">{#N/A,#N/A,FALSE,"Tabl. FB300";#N/A,#N/A,FALSE,"Tabl. FB350";#N/A,#N/A,FALSE,"Tabl. FB400";#N/A,#N/A,FALSE,"Tabl. FB500";#N/A,#N/A,FALSE,"Tabl. FS090"}</definedName>
    <definedName name="_____tab653" hidden="1">{#N/A,#N/A,FALSE,"Tabl. G1";#N/A,#N/A,FALSE,"Tabl. G2"}</definedName>
    <definedName name="_____TAB67" hidden="1">{#N/A,#N/A,FALSE,"Tabl. A1";#N/A,#N/A,FALSE,"Tabl. A1 b";#N/A,#N/A,FALSE,"Tabl. A2";#N/A,#N/A,FALSE,"Tabl. A2-1";#N/A,#N/A,FALSE,"Tabl. A2-2"}</definedName>
    <definedName name="_____tab678" hidden="1">{#N/A,#N/A,FALSE,"Tabl. FB300";#N/A,#N/A,FALSE,"Tabl. FB350";#N/A,#N/A,FALSE,"Tabl. FB400";#N/A,#N/A,FALSE,"Tabl. FB500";#N/A,#N/A,FALSE,"Tabl. FS090"}</definedName>
    <definedName name="_____tab7" hidden="1">{#N/A,#N/A,FALSE,"Tabl. FB300";#N/A,#N/A,FALSE,"Tabl. FB350";#N/A,#N/A,FALSE,"Tabl. FB400";#N/A,#N/A,FALSE,"Tabl. FB500";#N/A,#N/A,FALSE,"Tabl. FS090"}</definedName>
    <definedName name="_____tab78" hidden="1">{#N/A,#N/A,FALSE,"Tabl. D1";#N/A,#N/A,FALSE,"Tabl. D1 b";#N/A,#N/A,FALSE,"Tabl. D2";#N/A,#N/A,FALSE,"Tabl. D2 b";#N/A,#N/A,FALSE,"Tabl. D3";#N/A,#N/A,FALSE,"Tabl. D4";#N/A,#N/A,FALSE,"Tabl. D5"}</definedName>
    <definedName name="_____TAB8" hidden="1">{#N/A,#N/A,FALSE,"Tabl. FB300";#N/A,#N/A,FALSE,"Tabl. FB350";#N/A,#N/A,FALSE,"Tabl. FB400";#N/A,#N/A,FALSE,"Tabl. FB500";#N/A,#N/A,FALSE,"Tabl. FS090"}</definedName>
    <definedName name="_____tab80" hidden="1">{#N/A,#N/A,FALSE,"Tabl. FB300";#N/A,#N/A,FALSE,"Tabl. FB350";#N/A,#N/A,FALSE,"Tabl. FB400";#N/A,#N/A,FALSE,"Tabl. FB500";#N/A,#N/A,FALSE,"Tabl. FS090"}</definedName>
    <definedName name="_____TAB90" hidden="1">{#N/A,#N/A,FALSE,"Tabl. H1";#N/A,#N/A,FALSE,"Tabl. H2"}</definedName>
    <definedName name="_____tab98" hidden="1">{#N/A,#N/A,FALSE,"Tabl. A1";#N/A,#N/A,FALSE,"Tabl. A1 b";#N/A,#N/A,FALSE,"Tabl. A2";#N/A,#N/A,FALSE,"Tabl. A2-1";#N/A,#N/A,FALSE,"Tabl. A2-2"}</definedName>
    <definedName name="_____tab987" hidden="1">{#N/A,#N/A,FALSE,"Tabl. G1";#N/A,#N/A,FALSE,"Tabl. G2"}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New1" hidden="1">{#N/A,#N/A,FALSE,"Aging Summary";#N/A,#N/A,FALSE,"Ratio Analysis";#N/A,#N/A,FALSE,"Test 120 Day Accts";#N/A,#N/A,FALSE,"Tickmarks"}</definedName>
    <definedName name="____New2" hidden="1">{#N/A,#N/A,FALSE,"Aging Summary";#N/A,#N/A,FALSE,"Ratio Analysis";#N/A,#N/A,FALSE,"Test 120 Day Accts";#N/A,#N/A,FALSE,"Tickmarks"}</definedName>
    <definedName name="____New3" hidden="1">{#N/A,#N/A,FALSE,"Aging Summary";#N/A,#N/A,FALSE,"Ratio Analysis";#N/A,#N/A,FALSE,"Test 120 Day Accts";#N/A,#N/A,FALSE,"Tickmarks"}</definedName>
    <definedName name="____New4" hidden="1">{#N/A,#N/A,FALSE,"Aging Summary";#N/A,#N/A,FALSE,"Ratio Analysis";#N/A,#N/A,FALSE,"Test 120 Day Accts";#N/A,#N/A,FALSE,"Tickmarks"}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New1" hidden="1">{#N/A,#N/A,FALSE,"Aging Summary";#N/A,#N/A,FALSE,"Ratio Analysis";#N/A,#N/A,FALSE,"Test 120 Day Accts";#N/A,#N/A,FALSE,"Tickmarks"}</definedName>
    <definedName name="___New2" hidden="1">{#N/A,#N/A,FALSE,"Aging Summary";#N/A,#N/A,FALSE,"Ratio Analysis";#N/A,#N/A,FALSE,"Test 120 Day Accts";#N/A,#N/A,FALSE,"Tickmarks"}</definedName>
    <definedName name="___New3" hidden="1">{#N/A,#N/A,FALSE,"Aging Summary";#N/A,#N/A,FALSE,"Ratio Analysis";#N/A,#N/A,FALSE,"Test 120 Day Accts";#N/A,#N/A,FALSE,"Tickmarks"}</definedName>
    <definedName name="___New4" hidden="1">{#N/A,#N/A,FALSE,"Aging Summary";#N/A,#N/A,FALSE,"Ratio Analysis";#N/A,#N/A,FALSE,"Test 120 Day Accts";#N/A,#N/A,FALSE,"Tickmarks"}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xlc_DefaultDisplayOption___" hidden="1">"caption"</definedName>
    <definedName name="___xlc_DisplayNullValuesAs___" hidden="1">0</definedName>
    <definedName name="___xlc_PromptForInsertOnDrill___" hidden="1">FALSE</definedName>
    <definedName name="___xlc_SuppressNULLSOnDrill___" hidden="1">TRUE</definedName>
    <definedName name="___xlc_SuppressZerosOnDrill___" hidden="1">FALSE</definedName>
    <definedName name="__1___123Graph_ACHART_1" hidden="1">'[1]Steel Comp.'!$X$8:$X$19</definedName>
    <definedName name="__10__123Graph_ACHART_1" hidden="1">'[2]Steel Comp.'!$X$8:$X$19</definedName>
    <definedName name="__11__123Graph_ACHART_2" hidden="1">'[2]Steel Comp.'!$Z$8:$Z$19</definedName>
    <definedName name="__12__123Graph_ACHART_5" hidden="1">'[2]Steel Comp.'!$X$220:$X$231</definedName>
    <definedName name="__123Graph_A" hidden="1">[3]O!$B$18:$M$18</definedName>
    <definedName name="__123Graph_AFIXBAR" hidden="1">[3]O!$B$18:$M$18</definedName>
    <definedName name="__123Graph_AFIXSTKBAR" hidden="1">[3]O!$B$18:$M$18</definedName>
    <definedName name="__123Graph_B" hidden="1">[3]O!$B$20:$M$20</definedName>
    <definedName name="__123Graph_BFIXBAR" hidden="1">[3]O!$B$20:$M$20</definedName>
    <definedName name="__123Graph_BFIXSTKBAR" hidden="1">[3]O!$B$20:$M$20</definedName>
    <definedName name="__123Graph_D" hidden="1">'[4]Cash Flow'!$A$1:$A$1</definedName>
    <definedName name="__123Graph_X" hidden="1">[3]O!$B$7:$M$7</definedName>
    <definedName name="__123Graph_XFIXBAR" hidden="1">[3]O!$B$7:$M$7</definedName>
    <definedName name="__123Graph_XFIXSTKBAR" hidden="1">[3]O!$B$7:$M$7</definedName>
    <definedName name="__13__123Graph_ACHART_6" hidden="1">'[2]Steel Comp.'!$Z$220:$Z$231</definedName>
    <definedName name="__18__123Graph_XCHART_6" hidden="1">'[1]Steel Comp.'!$W$8:$W$21</definedName>
    <definedName name="__2___123Graph_ACHART_2" hidden="1">'[1]Steel Comp.'!$Z$8:$Z$19</definedName>
    <definedName name="__25__123Graph_XCHART_5" hidden="1">'[2]Steel Comp.'!$W$8:$W$19</definedName>
    <definedName name="__3___123Graph_ACHART_5" hidden="1">'[1]Steel Comp.'!$X$220:$X$231</definedName>
    <definedName name="__4___123Graph_ACHART_6" hidden="1">'[1]Steel Comp.'!$Z$220:$Z$231</definedName>
    <definedName name="__5___123Graph_BCHART_1" hidden="1">'[1]Steel Comp.'!$Y$8:$Y$17</definedName>
    <definedName name="__6___123Graph_BCHART_5" hidden="1">'[1]Steel Comp.'!$Y$8:$Y$19</definedName>
    <definedName name="__7___123Graph_XCHART_2" hidden="1">'[1]Steel Comp.'!$W$8:$W$21</definedName>
    <definedName name="__8___123Graph_XCHART_5" hidden="1">'[1]Steel Comp.'!$W$8:$W$19</definedName>
    <definedName name="__9___123Graph_XCHART_6" hidden="1">'[1]Steel Comp.'!$W$8:$W$21</definedName>
    <definedName name="__A2" hidden="1">{#N/A,#N/A,FALSE,"Tabl. A1";#N/A,#N/A,FALSE,"Tabl. A1 b";#N/A,#N/A,FALSE,"Tabl. A2";#N/A,#N/A,FALSE,"Tabl. A2-1";#N/A,#N/A,FALSE,"Tabl. A2-2"}</definedName>
    <definedName name="__A3" hidden="1">{#N/A,#N/A,FALSE,"Tabl. A1";#N/A,#N/A,FALSE,"Tabl. A1 b";#N/A,#N/A,FALSE,"Tabl. A2";#N/A,#N/A,FALSE,"Tabl. A2-1";#N/A,#N/A,FALSE,"Tabl. A2-2"}</definedName>
    <definedName name="__B2005" hidden="1">{#N/A,#N/A,FALSE,"Tabl. FB300";#N/A,#N/A,FALSE,"Tabl. FB350";#N/A,#N/A,FALSE,"Tabl. FB400";#N/A,#N/A,FALSE,"Tabl. FB500";#N/A,#N/A,FALSE,"Tabl. FS090"}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New1" hidden="1">{#N/A,#N/A,FALSE,"Aging Summary";#N/A,#N/A,FALSE,"Ratio Analysis";#N/A,#N/A,FALSE,"Test 120 Day Accts";#N/A,#N/A,FALSE,"Tickmarks"}</definedName>
    <definedName name="__New2" hidden="1">{#N/A,#N/A,FALSE,"Aging Summary";#N/A,#N/A,FALSE,"Ratio Analysis";#N/A,#N/A,FALSE,"Test 120 Day Accts";#N/A,#N/A,FALSE,"Tickmarks"}</definedName>
    <definedName name="__New3" hidden="1">{#N/A,#N/A,FALSE,"Aging Summary";#N/A,#N/A,FALSE,"Ratio Analysis";#N/A,#N/A,FALSE,"Test 120 Day Accts";#N/A,#N/A,FALSE,"Tickmarks"}</definedName>
    <definedName name="__New4" hidden="1">{#N/A,#N/A,FALSE,"Aging Summary";#N/A,#N/A,FALSE,"Ratio Analysis";#N/A,#N/A,FALSE,"Test 120 Day Accts";#N/A,#N/A,FALSE,"Tickmarks"}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1___123Graph_ACHART_1" hidden="1">'[1]Steel Comp.'!$X$8:$X$19</definedName>
    <definedName name="_1__123Graph_ACHART_1" hidden="1">'[1]Steel Comp.'!$X$8:$X$19</definedName>
    <definedName name="_1__123Graph_ACHART_2" hidden="1">#REF!</definedName>
    <definedName name="_10__123Graph_ACHART_1" hidden="1">'[1]Steel Comp.'!$X$8:$X$19</definedName>
    <definedName name="_10__123Graph_BCHART_1" hidden="1">'[1]Steel Comp.'!$Y$8:$Y$17</definedName>
    <definedName name="_11__123Graph_ACHART_1" hidden="1">'[5]Steel Comp.'!$X$8:$X$19</definedName>
    <definedName name="_11__123Graph_ACHART_2" hidden="1">'[1]Steel Comp.'!$Z$8:$Z$19</definedName>
    <definedName name="_12__123Graph_ACHART_5" hidden="1">'[1]Steel Comp.'!$X$220:$X$231</definedName>
    <definedName name="_12__123Graph_BCHART_5" hidden="1">'[1]Steel Comp.'!$Y$8:$Y$19</definedName>
    <definedName name="_12__123Graph_BCHART_8" hidden="1">'[6]IP%Chg'!#REF!</definedName>
    <definedName name="_13__123Graph_ACHART_2" hidden="1">'[5]Steel Comp.'!$Z$8:$Z$19</definedName>
    <definedName name="_13__123Graph_ACHART_6" hidden="1">'[1]Steel Comp.'!$Z$220:$Z$231</definedName>
    <definedName name="_14__123Graph_BCHART_1" hidden="1">'[1]Steel Comp.'!$Y$8:$Y$17</definedName>
    <definedName name="_14__123Graph_XCHART_2" hidden="1">'[1]Steel Comp.'!$W$8:$W$21</definedName>
    <definedName name="_15__123Graph_ACHART_5" hidden="1">'[5]Steel Comp.'!$X$220:$X$231</definedName>
    <definedName name="_15__123Graph_BCHART_5" hidden="1">'[1]Steel Comp.'!$Y$8:$Y$19</definedName>
    <definedName name="_16__123Graph_XCHART_2" hidden="1">'[1]Steel Comp.'!$W$8:$W$21</definedName>
    <definedName name="_16__123Graph_XCHART_5" hidden="1">'[1]Steel Comp.'!$W$8:$W$19</definedName>
    <definedName name="_17__123Graph_ACHART_6" hidden="1">'[5]Steel Comp.'!$Z$220:$Z$231</definedName>
    <definedName name="_17__123Graph_ACHART_8" hidden="1">'[6]IP%Chg'!#REF!</definedName>
    <definedName name="_17__123Graph_XCHART_5" hidden="1">'[1]Steel Comp.'!$W$8:$W$19</definedName>
    <definedName name="_18__123Graph_BCHART_1" hidden="1">'[2]Steel Comp.'!$Y$8:$Y$17</definedName>
    <definedName name="_18__123Graph_XCHART_6" hidden="1">'[1]Steel Comp.'!$W$8:$W$21</definedName>
    <definedName name="_19__123Graph_BCHART_1" hidden="1">'[5]Steel Comp.'!$Y$8:$Y$17</definedName>
    <definedName name="_19__123Graph_BCHART_5" hidden="1">'[2]Steel Comp.'!$Y$8:$Y$19</definedName>
    <definedName name="_2___123Graph_ACHART_2" hidden="1">'[1]Steel Comp.'!$Z$8:$Z$19</definedName>
    <definedName name="_2__123Graph_ACHART_1" hidden="1">'[1]Steel Comp.'!$X$8:$X$19</definedName>
    <definedName name="_2__123Graph_ACHART_2" hidden="1">'[1]Steel Comp.'!$Z$8:$Z$19</definedName>
    <definedName name="_2__123Graph_ACHART_8" hidden="1">'[6]IP%Chg'!#REF!</definedName>
    <definedName name="_2__123Graph_BCHART_2" hidden="1">#REF!</definedName>
    <definedName name="_21__123Graph_BCHART_5" hidden="1">'[5]Steel Comp.'!$Y$8:$Y$19</definedName>
    <definedName name="_23__123Graph_BCHART_8" hidden="1">'[6]IP%Chg'!#REF!</definedName>
    <definedName name="_23__123Graph_XCHART_2" hidden="1">'[5]Steel Comp.'!$W$8:$W$21</definedName>
    <definedName name="_24__123Graph_XCHART_2" hidden="1">'[2]Steel Comp.'!$W$8:$W$21</definedName>
    <definedName name="_25__123Graph_XCHART_5" hidden="1">'[5]Steel Comp.'!$W$8:$W$19</definedName>
    <definedName name="_26__123Graph_XCHART_6" hidden="1">'[2]Steel Comp.'!$W$8:$W$21</definedName>
    <definedName name="_27__123Graph_XCHART_6" hidden="1">'[5]Steel Comp.'!$W$8:$W$21</definedName>
    <definedName name="_3___123Graph_ACHART_5" hidden="1">'[1]Steel Comp.'!$X$220:$X$231</definedName>
    <definedName name="_3__123Graph_ACHART_5" hidden="1">'[1]Steel Comp.'!$X$220:$X$231</definedName>
    <definedName name="_34__123Graph_ACHART_8" hidden="1">'[6]IP%Chg'!#REF!</definedName>
    <definedName name="_4___123Graph_ACHART_6" hidden="1">'[1]Steel Comp.'!$Z$220:$Z$231</definedName>
    <definedName name="_4__123Graph_ACHART_2" hidden="1">'[1]Steel Comp.'!$Z$8:$Z$19</definedName>
    <definedName name="_4__123Graph_ACHART_6" hidden="1">'[1]Steel Comp.'!$Z$220:$Z$231</definedName>
    <definedName name="_4__123Graph_BCHART_8" hidden="1">'[6]IP%Chg'!#REF!</definedName>
    <definedName name="_5___123Graph_BCHART_1" hidden="1">'[1]Steel Comp.'!$Y$8:$Y$17</definedName>
    <definedName name="_5__123Graph_BCHART_1" hidden="1">'[1]Steel Comp.'!$Y$8:$Y$17</definedName>
    <definedName name="_6___123Graph_BCHART_5" hidden="1">'[1]Steel Comp.'!$Y$8:$Y$19</definedName>
    <definedName name="_6__123Graph_ACHART_5" hidden="1">'[1]Steel Comp.'!$X$220:$X$231</definedName>
    <definedName name="_6__123Graph_ACHART_8" hidden="1">'[6]IP%Chg'!#REF!</definedName>
    <definedName name="_6__123Graph_BCHART_5" hidden="1">'[1]Steel Comp.'!$Y$8:$Y$19</definedName>
    <definedName name="_68__123Graph_BCHART_8" hidden="1">'[6]IP%Chg'!#REF!</definedName>
    <definedName name="_7___123Graph_XCHART_2" hidden="1">'[1]Steel Comp.'!$W$8:$W$21</definedName>
    <definedName name="_7__123Graph_XCHART_2" hidden="1">'[1]Steel Comp.'!$W$8:$W$21</definedName>
    <definedName name="_8___123Graph_XCHART_5" hidden="1">'[1]Steel Comp.'!$W$8:$W$19</definedName>
    <definedName name="_8__123Graph_ACHART_6" hidden="1">'[1]Steel Comp.'!$Z$220:$Z$231</definedName>
    <definedName name="_8__123Graph_XCHART_5" hidden="1">'[1]Steel Comp.'!$W$8:$W$19</definedName>
    <definedName name="_9___123Graph_XCHART_6" hidden="1">'[1]Steel Comp.'!$W$8:$W$21</definedName>
    <definedName name="_9__123Graph_XCHART_6" hidden="1">'[1]Steel Comp.'!$W$8:$W$21</definedName>
    <definedName name="_A2" hidden="1">{#N/A,#N/A,FALSE,"Tabl. A1";#N/A,#N/A,FALSE,"Tabl. A1 b";#N/A,#N/A,FALSE,"Tabl. A2";#N/A,#N/A,FALSE,"Tabl. A2-1";#N/A,#N/A,FALSE,"Tabl. A2-2"}</definedName>
    <definedName name="_A3" hidden="1">{#N/A,#N/A,FALSE,"Tabl. A1";#N/A,#N/A,FALSE,"Tabl. A1 b";#N/A,#N/A,FALSE,"Tabl. A2";#N/A,#N/A,FALSE,"Tabl. A2-1";#N/A,#N/A,FALSE,"Tabl. A2-2"}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5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2005" hidden="1">{#N/A,#N/A,FALSE,"Tabl. FB300";#N/A,#N/A,FALSE,"Tabl. FB350";#N/A,#N/A,FALSE,"Tabl. FB400";#N/A,#N/A,FALSE,"Tabl. FB500";#N/A,#N/A,FALSE,"Tabl. FS090"}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BQ4.1" hidden="1">'[7]Fx - mandates portfolio'!#REF!</definedName>
    <definedName name="_daf2005" hidden="1">{#N/A,#N/A,FALSE,"Tabl. H1";#N/A,#N/A,FALSE,"Tabl. H2"}</definedName>
    <definedName name="_Fill" hidden="1">#REF!</definedName>
    <definedName name="_Fill1" hidden="1">#REF!</definedName>
    <definedName name="_Key1" hidden="1">[8]PRODEENH!#REF!</definedName>
    <definedName name="_New1" hidden="1">{#N/A,#N/A,FALSE,"Aging Summary";#N/A,#N/A,FALSE,"Ratio Analysis";#N/A,#N/A,FALSE,"Test 120 Day Accts";#N/A,#N/A,FALSE,"Tickmarks"}</definedName>
    <definedName name="_New2" hidden="1">{#N/A,#N/A,FALSE,"Aging Summary";#N/A,#N/A,FALSE,"Ratio Analysis";#N/A,#N/A,FALSE,"Test 120 Day Accts";#N/A,#N/A,FALSE,"Tickmarks"}</definedName>
    <definedName name="_New3" hidden="1">{#N/A,#N/A,FALSE,"Aging Summary";#N/A,#N/A,FALSE,"Ratio Analysis";#N/A,#N/A,FALSE,"Test 120 Day Accts";#N/A,#N/A,FALSE,"Tickmarks"}</definedName>
    <definedName name="_New4" hidden="1">{#N/A,#N/A,FALSE,"Aging Summary";#N/A,#N/A,FALSE,"Ratio Analysis";#N/A,#N/A,FALSE,"Test 120 Day Accts";#N/A,#N/A,FALSE,"Tickmarks"}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0</definedName>
    <definedName name="_Order2" hidden="1">255</definedName>
    <definedName name="_Regression_Int" hidden="1">1</definedName>
    <definedName name="_Sort" hidden="1">[8]PRODEENH!#REF!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342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27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4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MAutoChart1Names" hidden="1">{"Temp","Chart 6","Temp Chart 6"}</definedName>
    <definedName name="_TMAutoChart1Refs" hidden="1">{"","","","","","","","'Temp'!$E$23","",""}</definedName>
    <definedName name="_TMAutoChartCount" hidden="1">1</definedName>
    <definedName name="aa" hidden="1">{#N/A,#N/A,FALSE,"Sheet1"}</definedName>
    <definedName name="aaaaa" hidden="1">{#N/A,#N/A,FALSE,"Tabl. D1";#N/A,#N/A,FALSE,"Tabl. D1 b";#N/A,#N/A,FALSE,"Tabl. D2";#N/A,#N/A,FALSE,"Tabl. D2 b";#N/A,#N/A,FALSE,"Tabl. D3";#N/A,#N/A,FALSE,"Tabl. D4";#N/A,#N/A,FALSE,"Tabl. D5"}</definedName>
    <definedName name="aaqa" hidden="1">{#N/A,#N/A,FALSE,"PREÇO.CPV.CA60";#N/A,#N/A,FALSE,"PREÇO.CPV.TREFILADOS";#N/A,#N/A,FALSE,"PREÇO.CPV.CA50";#N/A,#N/A,FALSE,"PREÇO.CPV.FM";#N/A,#N/A,FALSE,"PREÇO-FOB"}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ccessDatabase" hidden="1">"\\ncc001\accounting\Al's Backup\INFORMATION DATABASE\CHARTS\COLUMBUS CHARTS APACE.mdb"</definedName>
    <definedName name="ACwvu.CAPA." hidden="1">#REF!</definedName>
    <definedName name="ACwvu.CSTO._.FASE." hidden="1">#REF!</definedName>
    <definedName name="ACwvu.CSTO._.FIXO." hidden="1">#REF!</definedName>
    <definedName name="ACwvu.D._.CMI." hidden="1">#REF!</definedName>
    <definedName name="ACwvu.D._.REAIS." hidden="1">#REF!</definedName>
    <definedName name="ACwvu.D._.US." hidden="1">#REF!</definedName>
    <definedName name="ACwvu.EQUIV.._.MES." hidden="1">#REF!</definedName>
    <definedName name="ACwvu.INDICE." hidden="1">#REF!</definedName>
    <definedName name="ACwvu.RESUL._.T." hidden="1">#REF!</definedName>
    <definedName name="ae" hidden="1">{"FORM 1",#N/A,FALSE,"Plan3"}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HCENE" hidden="1">{#N/A,#N/A,FALSE,"Aging Summary";#N/A,#N/A,FALSE,"Ratio Analysis";#N/A,#N/A,FALSE,"Test 120 Day Accts";#N/A,#N/A,FALSE,"Tickmarks"}</definedName>
    <definedName name="Aissa1" hidden="1">{#N/A,#N/A,FALSE,"Aging Summary";#N/A,#N/A,FALSE,"Ratio Analysis";#N/A,#N/A,FALSE,"Test 120 Day Accts";#N/A,#N/A,FALSE,"Tickmarks"}</definedName>
    <definedName name="Ap_input_22R" hidden="1">{#N/A,#N/A,FALSE,"Sheet1"}</definedName>
    <definedName name="AS2DocOpenMode" hidden="1">"AS2DocumentEdit"</definedName>
    <definedName name="AS2NamedRange" hidden="1">120</definedName>
    <definedName name="asd" hidden="1">{#N/A,#N/A,FALSE,"Aging Summary";#N/A,#N/A,FALSE,"Ratio Analysis";#N/A,#N/A,FALSE,"Test 120 Day Accts";#N/A,#N/A,FALSE,"Tickmarks"}</definedName>
    <definedName name="asdfas" hidden="1">{#N/A,#N/A,FALSE,"Aging Summary";#N/A,#N/A,FALSE,"Ratio Analysis";#N/A,#N/A,FALSE,"Test 120 Day Accts";#N/A,#N/A,FALSE,"Tickmarks"}</definedName>
    <definedName name="asefd21" hidden="1">{#N/A,#N/A,FALSE,"Aging Summary";#N/A,#N/A,FALSE,"Ratio Analysis";#N/A,#N/A,FALSE,"Test 120 Day Accts";#N/A,#N/A,FALSE,"Tickmarks"}</definedName>
    <definedName name="asjkafçsdak" hidden="1">{#N/A,#N/A,FALSE,"Tabl. D1";#N/A,#N/A,FALSE,"Tabl. D1 b";#N/A,#N/A,FALSE,"Tabl. D2";#N/A,#N/A,FALSE,"Tabl. D2 b";#N/A,#N/A,FALSE,"Tabl. D3";#N/A,#N/A,FALSE,"Tabl. D4";#N/A,#N/A,FALSE,"Tabl. D5"}</definedName>
    <definedName name="assumptions1" hidden="1">{#N/A,#N/A,FALSE,"Tabl. G1";#N/A,#N/A,FALSE,"Tabl. G2"}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lackVol">'Volatility Smile'!$D$3</definedName>
    <definedName name="book2" hidden="1">{#N/A,#N/A,FALSE,"Sheet1"}</definedName>
    <definedName name="CalibrationMethod">Inputs!$D$21</definedName>
    <definedName name="canot" hidden="1">{#N/A,#N/A,FALSE,"Tabl. FB300";#N/A,#N/A,FALSE,"Tabl. FB350";#N/A,#N/A,FALSE,"Tabl. FB400";#N/A,#N/A,FALSE,"Tabl. FB500";#N/A,#N/A,FALSE,"Tabl. FS090"}</definedName>
    <definedName name="CashFlows">'Discount Curve'!$I$4</definedName>
    <definedName name="cc" hidden="1">{"MDE",#N/A,FALSE,"S-MDE"}</definedName>
    <definedName name="champ" hidden="1">{#N/A,#N/A,FALSE,"Tabl. G1";#N/A,#N/A,FALSE,"Tabl. G2"}</definedName>
    <definedName name="Coupon">Inputs!$D$5</definedName>
    <definedName name="cumulative_interest" hidden="1">{#N/A,#N/A,FALSE,"Aging Summary";#N/A,#N/A,FALSE,"Ratio Analysis";#N/A,#N/A,FALSE,"Test 120 Day Accts";#N/A,#N/A,FALSE,"Tickmarks"}</definedName>
    <definedName name="d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Date1">'Discount Curve'!$B$26</definedName>
    <definedName name="dddew" hidden="1">{#N/A,#N/A,FALSE,"GRAF.";"USGV",#N/A,FALSE,"S-USGV";"MDE",#N/A,FALSE,"S-MDE";"BELGO",#N/A,FALSE,"S-BELGO";#N/A,#N/A,FALSE,"CAPA"}</definedName>
    <definedName name="ddeer" hidden="1">{"MDE",#N/A,FALSE,"S-MDE"}</definedName>
    <definedName name="Delta">Inputs!$D$19</definedName>
    <definedName name="dfadafds" hidden="1">{#N/A,#N/A,FALSE,"Tabl. H1";#N/A,#N/A,FALSE,"Tabl. H2"}</definedName>
    <definedName name="dfd" hidden="1">{#N/A,#N/A,FALSE,"Aging Summary";#N/A,#N/A,FALSE,"Ratio Analysis";#N/A,#N/A,FALSE,"Test 120 Day Accts";#N/A,#N/A,FALSE,"Tickmarks"}</definedName>
    <definedName name="dfdfg" hidden="1">{#N/A,#N/A,FALSE,"Aging Summary";#N/A,#N/A,FALSE,"Ratio Analysis";#N/A,#N/A,FALSE,"Test 120 Day Accts";#N/A,#N/A,FALSE,"Tickmarks"}</definedName>
    <definedName name="discount1">'Discount Curve'!$C$26</definedName>
    <definedName name="Dr">Inputs!$D$24</definedName>
    <definedName name="ds" hidden="1">{"USGV",#N/A,FALSE,"S-USGV"}</definedName>
    <definedName name="dser" hidden="1">{"USGV",#N/A,FALSE,"S-USGV"}</definedName>
    <definedName name="Error">'Volatility Smile'!$L$6</definedName>
    <definedName name="Face">Inputs!$D$2</definedName>
    <definedName name="fddf" hidden="1">{"celkový rozpočet - detail",#N/A,FALSE,"Aktualizace č. 1"}</definedName>
    <definedName name="FDDF1" hidden="1">{"celkový rozpočet - detail",#N/A,FALSE,"Aktualizace č. 1"}</definedName>
    <definedName name="fdsrad" hidden="1">{#N/A,#N/A,FALSE,"Tabl. FB300";#N/A,#N/A,FALSE,"Tabl. FB350";#N/A,#N/A,FALSE,"Tabl. FB400";#N/A,#N/A,FALSE,"Tabl. FB500";#N/A,#N/A,FALSE,"Tabl. FS090"}</definedName>
    <definedName name="FeverStein" hidden="1">{#N/A,#N/A,FALSE,"PREÇO.CPV.CA60";#N/A,#N/A,FALSE,"PREÇO.CPV.TREFILADOS";#N/A,#N/A,FALSE,"PREÇO.CPV.CA50";#N/A,#N/A,FALSE,"PREÇO.CPV.FM";#N/A,#N/A,FALSE,"PREÇO-FOB"}</definedName>
    <definedName name="ffsgsdgsd" hidden="1">{#N/A,#N/A,FALSE,"Aging Summary";#N/A,#N/A,FALSE,"Ratio Analysis";#N/A,#N/A,FALSE,"Test 120 Day Accts";#N/A,#N/A,FALSE,"Tickmarks"}</definedName>
    <definedName name="fggfdfgf" hidden="1">{#N/A,#N/A,FALSE,"Aging Summary";#N/A,#N/A,FALSE,"Ratio Analysis";#N/A,#N/A,FALSE,"Test 120 Day Accts";#N/A,#N/A,FALSE,"Tickmarks"}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r" hidden="1">{"FORM 2",#N/A,FALSE,"Plan3"}</definedName>
    <definedName name="Frequency">Inputs!$D$4</definedName>
    <definedName name="from" hidden="1">{"FORM 1",#N/A,FALSE,"Plan3"}</definedName>
    <definedName name="gggg" hidden="1">{#N/A,#N/A,FALSE,"Aging Summary";#N/A,#N/A,FALSE,"Ratio Analysis";#N/A,#N/A,FALSE,"Test 120 Day Accts";#N/A,#N/A,FALSE,"Tickmarks"}</definedName>
    <definedName name="gggt" hidden="1">{"FORM 2",#N/A,FALSE,"Plan3"}</definedName>
    <definedName name="ggre" hidden="1">{"FORM 1",#N/A,FALSE,"Plan3"}</definedName>
    <definedName name="ggt" hidden="1">{"CAPA",#N/A,FALSE,"CAPA"}</definedName>
    <definedName name="gh" hidden="1">[8]PRODEENH!#REF!</definedName>
    <definedName name="gtg" hidden="1">{"BELGO",#N/A,FALSE,"S-BELGO"}</definedName>
    <definedName name="H" hidden="1">{#N/A,#N/A,FALSE,"Aging Summary";#N/A,#N/A,FALSE,"Ratio Analysis";#N/A,#N/A,FALSE,"Test 120 Day Accts";#N/A,#N/A,FALSE,"Tickmarks"}</definedName>
    <definedName name="Houria" hidden="1">{"celkový rozpočet - detail",#N/A,FALSE,"Aktualizace č. 1"}</definedName>
    <definedName name="hu" hidden="1">{#N/A,#N/A,FALSE,"S-USGV";#N/A,#N/A,FALSE,"S-MDE";#N/A,#N/A,FALSE,"S-BELGO";#N/A,#N/A,FALSE,"CAPA"}</definedName>
    <definedName name="huji" hidden="1">{#N/A,#N/A,FALSE,"Aging Summary";#N/A,#N/A,FALSE,"Ratio Analysis";#N/A,#N/A,FALSE,"Test 120 Day Accts";#N/A,#N/A,FALSE,"Tickmarks"}</definedName>
    <definedName name="HWParameters">'Volatility Smile'!$L$3:$L$4</definedName>
    <definedName name="inabc" hidden="1">{#N/A,#N/A,FALSE,"Aging Summary";#N/A,#N/A,FALSE,"Ratio Analysis";#N/A,#N/A,FALSE,"Test 120 Day Accts";#N/A,#N/A,FALSE,"Tickmarks"}</definedName>
    <definedName name="Ind.Estoque_04" hidden="1">{#N/A,#N/A,FALSE,"Tabl. FB300";#N/A,#N/A,FALSE,"Tabl. FB350";#N/A,#N/A,FALSE,"Tabl. FB400";#N/A,#N/A,FALSE,"Tabl. FB500";#N/A,#N/A,FALSE,"Tabl. FS090"}</definedName>
    <definedName name="int" hidden="1">{#N/A,#N/A,FALSE,"Aging Summary";#N/A,#N/A,FALSE,"Ratio Analysis";#N/A,#N/A,FALSE,"Test 120 Day Accts";#N/A,#N/A,FALSE,"Tickmarks"}</definedName>
    <definedName name="Inter" hidden="1">{#N/A,#N/A,FALSE,"Aging Summary";#N/A,#N/A,FALSE,"Ratio Analysis";#N/A,#N/A,FALSE,"Test 120 Day Accts";#N/A,#N/A,FALSE,"Tickmarks"}</definedName>
    <definedName name="interest" hidden="1">{#N/A,#N/A,FALSE,"Aging Summary";#N/A,#N/A,FALSE,"Ratio Analysis";#N/A,#N/A,FALSE,"Test 120 Day Accts";#N/A,#N/A,FALSE,"Tickmarks"}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40508.7814467593</definedName>
    <definedName name="IQ_NTM" hidden="1">6000</definedName>
    <definedName name="IQ_OPENED55" hidden="1">1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h" hidden="1">{"USGV",#N/A,FALSE,"S-USGV"}</definedName>
    <definedName name="ll" hidden="1">{TRUE,TRUE,-0.5,-14.75,483,275.25,FALSE,FALSE,TRUE,TRUE,0,1,#N/A,102,#N/A,7.47727272727273,17.9411764705882,1,FALSE,FALSE,3,TRUE,1,FALSE,100,"Swvu.D._.CMI.","ACwvu.D._.CMI.",#N/A,FALSE,FALSE,0,0,0,0,1,"","",TRUE,TRUE,FALSE,FALSE,1,100,#N/A,#N/A,"=R110C1:R163C11",FALSE,#N/A,#N/A,FALSE,FALSE,TRUE,9,300,300,FALSE,FALSE,TRUE,TRUE,TRUE}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n" hidden="1">{#N/A,#N/A,FALSE,"Sheet1"}</definedName>
    <definedName name="NonCall">Inputs!$D$9</definedName>
    <definedName name="Nov_Dec_2003_MRF" hidden="1">{#N/A,#N/A,FALSE,"Sheet1"}</definedName>
    <definedName name="o" hidden="1">{#N/A,#N/A,FALSE,"Tabl. FB300";#N/A,#N/A,FALSE,"Tabl. FB350";#N/A,#N/A,FALSE,"Tabl. FB400";#N/A,#N/A,FALSE,"Tabl. FB500";#N/A,#N/A,FALSE,"Tabl. FS090"}</definedName>
    <definedName name="OAS">Inputs!$D$6</definedName>
    <definedName name="OutputOAS">Inputs!$I$6</definedName>
    <definedName name="P">'Discount Curve'!$F$4</definedName>
    <definedName name="Pal_Workbook_GUID" hidden="1">"U6FANYWMQR9V69SC3ZRGSU1R"</definedName>
    <definedName name="Penalty">Inputs!$D$10</definedName>
    <definedName name="Penalty1">Inputs!$D$11</definedName>
    <definedName name="Penalty2">Inputs!$D$12</definedName>
    <definedName name="Penalty3">Inputs!$D$13</definedName>
    <definedName name="pir" hidden="1">{"MDE",#N/A,FALSE,"S-MDE"}</definedName>
    <definedName name="pircvf" hidden="1">{"USGV",#N/A,FALSE,"S-USGV"}</definedName>
    <definedName name="Plante" hidden="1">{#N/A,#N/A,FALSE,"Tabl. G1";#N/A,#N/A,FALSE,"Tabl. G2"}</definedName>
    <definedName name="pluie" hidden="1">{#N/A,#N/A,FALSE,"Tabl. H1";#N/A,#N/A,FALSE,"Tabl. H2"}</definedName>
    <definedName name="Price">Inputs!$G$6</definedName>
    <definedName name="putcall">Inputs!$D$7</definedName>
    <definedName name="ques" hidden="1">{"CAPA",#N/A,FALSE,"CAPA"}</definedName>
    <definedName name="qw" hidden="1">{#N/A,#N/A,FALSE,"Tabl. D1";#N/A,#N/A,FALSE,"Tabl. D1 b";#N/A,#N/A,FALSE,"Tabl. D2";#N/A,#N/A,FALSE,"Tabl. D2 b";#N/A,#N/A,FALSE,"Tabl. D3";#N/A,#N/A,FALSE,"Tabl. D4";#N/A,#N/A,FALSE,"Tabl. D5"}</definedName>
    <definedName name="RACHID" hidden="1">{#N/A,#N/A,FALSE,"Aging Summary";#N/A,#N/A,FALSE,"Ratio Analysis";#N/A,#N/A,FALSE,"Test 120 Day Accts";#N/A,#N/A,FALSE,"Tickmarks"}</definedName>
    <definedName name="Rel" hidden="1">{#N/A,#N/A,FALSE,"Aging Summary";#N/A,#N/A,FALSE,"Ratio Analysis";#N/A,#N/A,FALSE,"Test 120 Day Accts";#N/A,#N/A,FALSE,"Tickmarks"}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MultipleCPUSupportEnabled" hidden="1">TRUE</definedName>
    <definedName name="RiskSwapState" hidden="1">FALSE</definedName>
    <definedName name="rmax">Inputs!$D$26</definedName>
    <definedName name="rmin">Inputs!$D$25</definedName>
    <definedName name="Rwvu.EQUIV.._.ANO." hidden="1">'[9]EQUIV-ANO'!#REF!</definedName>
    <definedName name="SAPBEXhrIndnt" hidden="1">1</definedName>
    <definedName name="SAPBEXrevision" hidden="1">16</definedName>
    <definedName name="SAPBEXsysID" hidden="1">"BP0"</definedName>
    <definedName name="SAPBEXwbID" hidden="1">"3K1YBZPDHSQ1VHTC4CURV63C3"</definedName>
    <definedName name="save">Inputs!$D$27</definedName>
    <definedName name="Selection">#REF!,#REF!,#REF!</definedName>
    <definedName name="sencount" hidden="1">2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howHWImpVol">'Volatility Smile'!$E$14</definedName>
    <definedName name="Smlouvy" hidden="1">{"celkový rozpočet - detail",#N/A,FALSE,"Aktualizace č. 1"}</definedName>
    <definedName name="SmoothingSplines">'Discount Curve'!$D$21</definedName>
    <definedName name="solver_adj" localSheetId="1" hidden="1">Inputs!#REF!</definedName>
    <definedName name="solver_adj" localSheetId="4" hidden="1">'Volatility Smile'!$L$4</definedName>
    <definedName name="solver_cvg" localSheetId="4" hidden="1">0.0000000001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1000000</definedName>
    <definedName name="solver_lhs1" localSheetId="1" hidden="1">Inputs!#REF!</definedName>
    <definedName name="solver_lhs1" localSheetId="4" hidden="1">'Volatility Smile'!$L$4</definedName>
    <definedName name="solver_lhs10" localSheetId="1" hidden="1">Inputs!#REF!</definedName>
    <definedName name="solver_lhs10" localSheetId="4" hidden="1">'Volatility Smile'!$L$4</definedName>
    <definedName name="solver_lhs100" localSheetId="4" hidden="1">'Volatility Smile'!$L$4</definedName>
    <definedName name="solver_lhs11" localSheetId="4" hidden="1">'Volatility Smile'!$L$4</definedName>
    <definedName name="solver_lhs12" localSheetId="4" hidden="1">'Volatility Smile'!$L$4</definedName>
    <definedName name="solver_lhs13" localSheetId="4" hidden="1">'Volatility Smile'!$L$4</definedName>
    <definedName name="solver_lhs14" localSheetId="4" hidden="1">'Volatility Smile'!$L$4</definedName>
    <definedName name="solver_lhs15" localSheetId="4" hidden="1">'Volatility Smile'!$L$4</definedName>
    <definedName name="solver_lhs16" localSheetId="4" hidden="1">'Volatility Smile'!$L$4</definedName>
    <definedName name="solver_lhs17" localSheetId="4" hidden="1">'Volatility Smile'!$L$4</definedName>
    <definedName name="solver_lhs18" localSheetId="4" hidden="1">'Volatility Smile'!$L$4</definedName>
    <definedName name="solver_lhs19" localSheetId="4" hidden="1">'Volatility Smile'!$L$4</definedName>
    <definedName name="solver_lhs2" localSheetId="1" hidden="1">Inputs!#REF!</definedName>
    <definedName name="solver_lhs2" localSheetId="4" hidden="1">'Volatility Smile'!$L$4</definedName>
    <definedName name="solver_lhs20" localSheetId="4" hidden="1">'Volatility Smile'!$L$4</definedName>
    <definedName name="solver_lhs21" localSheetId="4" hidden="1">'Volatility Smile'!$L$4</definedName>
    <definedName name="solver_lhs22" localSheetId="4" hidden="1">'Volatility Smile'!$L$4</definedName>
    <definedName name="solver_lhs23" localSheetId="4" hidden="1">'Volatility Smile'!$L$4</definedName>
    <definedName name="solver_lhs24" localSheetId="4" hidden="1">'Volatility Smile'!$L$4</definedName>
    <definedName name="solver_lhs25" localSheetId="4" hidden="1">'Volatility Smile'!$L$4</definedName>
    <definedName name="solver_lhs26" localSheetId="4" hidden="1">'Volatility Smile'!$L$4</definedName>
    <definedName name="solver_lhs27" localSheetId="4" hidden="1">'Volatility Smile'!$L$4</definedName>
    <definedName name="solver_lhs28" localSheetId="4" hidden="1">'Volatility Smile'!$L$4</definedName>
    <definedName name="solver_lhs29" localSheetId="4" hidden="1">'Volatility Smile'!$L$4</definedName>
    <definedName name="solver_lhs3" localSheetId="1" hidden="1">Inputs!#REF!</definedName>
    <definedName name="solver_lhs3" localSheetId="4" hidden="1">'Volatility Smile'!$L$3</definedName>
    <definedName name="solver_lhs30" localSheetId="4" hidden="1">'Volatility Smile'!$L$4</definedName>
    <definedName name="solver_lhs31" localSheetId="4" hidden="1">'Volatility Smile'!$L$4</definedName>
    <definedName name="solver_lhs32" localSheetId="4" hidden="1">'Volatility Smile'!$L$4</definedName>
    <definedName name="solver_lhs33" localSheetId="4" hidden="1">'Volatility Smile'!$L$4</definedName>
    <definedName name="solver_lhs34" localSheetId="4" hidden="1">'Volatility Smile'!$L$4</definedName>
    <definedName name="solver_lhs35" localSheetId="4" hidden="1">'Volatility Smile'!$L$4</definedName>
    <definedName name="solver_lhs36" localSheetId="4" hidden="1">'Volatility Smile'!$L$4</definedName>
    <definedName name="solver_lhs37" localSheetId="4" hidden="1">'Volatility Smile'!$L$4</definedName>
    <definedName name="solver_lhs38" localSheetId="4" hidden="1">'Volatility Smile'!$L$4</definedName>
    <definedName name="solver_lhs39" localSheetId="4" hidden="1">'Volatility Smile'!$L$4</definedName>
    <definedName name="solver_lhs4" localSheetId="1" hidden="1">Inputs!#REF!</definedName>
    <definedName name="solver_lhs4" localSheetId="4" hidden="1">'Volatility Smile'!$L$3</definedName>
    <definedName name="solver_lhs40" localSheetId="4" hidden="1">'Volatility Smile'!$L$4</definedName>
    <definedName name="solver_lhs41" localSheetId="4" hidden="1">'Volatility Smile'!$L$4</definedName>
    <definedName name="solver_lhs42" localSheetId="4" hidden="1">'Volatility Smile'!$L$4</definedName>
    <definedName name="solver_lhs43" localSheetId="4" hidden="1">'Volatility Smile'!$L$4</definedName>
    <definedName name="solver_lhs44" localSheetId="4" hidden="1">'Volatility Smile'!$L$4</definedName>
    <definedName name="solver_lhs45" localSheetId="4" hidden="1">'Volatility Smile'!$L$4</definedName>
    <definedName name="solver_lhs46" localSheetId="4" hidden="1">'Volatility Smile'!$L$4</definedName>
    <definedName name="solver_lhs47" localSheetId="4" hidden="1">'Volatility Smile'!$L$4</definedName>
    <definedName name="solver_lhs48" localSheetId="4" hidden="1">'Volatility Smile'!$L$4</definedName>
    <definedName name="solver_lhs49" localSheetId="4" hidden="1">'Volatility Smile'!$L$4</definedName>
    <definedName name="solver_lhs5" localSheetId="1" hidden="1">Inputs!#REF!</definedName>
    <definedName name="solver_lhs5" localSheetId="4" hidden="1">'Volatility Smile'!$L$4</definedName>
    <definedName name="solver_lhs50" localSheetId="4" hidden="1">'Volatility Smile'!$L$4</definedName>
    <definedName name="solver_lhs51" localSheetId="4" hidden="1">'Volatility Smile'!$L$4</definedName>
    <definedName name="solver_lhs52" localSheetId="4" hidden="1">'Volatility Smile'!$L$4</definedName>
    <definedName name="solver_lhs53" localSheetId="4" hidden="1">'Volatility Smile'!$L$4</definedName>
    <definedName name="solver_lhs54" localSheetId="4" hidden="1">'Volatility Smile'!$L$4</definedName>
    <definedName name="solver_lhs55" localSheetId="4" hidden="1">'Volatility Smile'!$L$4</definedName>
    <definedName name="solver_lhs56" localSheetId="4" hidden="1">'Volatility Smile'!$L$4</definedName>
    <definedName name="solver_lhs57" localSheetId="4" hidden="1">'Volatility Smile'!$L$4</definedName>
    <definedName name="solver_lhs58" localSheetId="4" hidden="1">'Volatility Smile'!$L$4</definedName>
    <definedName name="solver_lhs59" localSheetId="4" hidden="1">'Volatility Smile'!$L$4</definedName>
    <definedName name="solver_lhs6" localSheetId="1" hidden="1">Inputs!#REF!</definedName>
    <definedName name="solver_lhs6" localSheetId="4" hidden="1">'Volatility Smile'!$L$4</definedName>
    <definedName name="solver_lhs60" localSheetId="4" hidden="1">'Volatility Smile'!$L$4</definedName>
    <definedName name="solver_lhs61" localSheetId="4" hidden="1">'Volatility Smile'!$L$4</definedName>
    <definedName name="solver_lhs62" localSheetId="4" hidden="1">'Volatility Smile'!$L$4</definedName>
    <definedName name="solver_lhs63" localSheetId="4" hidden="1">'Volatility Smile'!$L$4</definedName>
    <definedName name="solver_lhs64" localSheetId="4" hidden="1">'Volatility Smile'!$L$4</definedName>
    <definedName name="solver_lhs65" localSheetId="4" hidden="1">'Volatility Smile'!$L$4</definedName>
    <definedName name="solver_lhs66" localSheetId="4" hidden="1">'Volatility Smile'!$L$4</definedName>
    <definedName name="solver_lhs67" localSheetId="4" hidden="1">'Volatility Smile'!$L$4</definedName>
    <definedName name="solver_lhs68" localSheetId="4" hidden="1">'Volatility Smile'!$L$4</definedName>
    <definedName name="solver_lhs69" localSheetId="4" hidden="1">'Volatility Smile'!$L$4</definedName>
    <definedName name="solver_lhs7" localSheetId="1" hidden="1">Inputs!#REF!</definedName>
    <definedName name="solver_lhs7" localSheetId="4" hidden="1">'Volatility Smile'!$L$4</definedName>
    <definedName name="solver_lhs70" localSheetId="4" hidden="1">'Volatility Smile'!$L$4</definedName>
    <definedName name="solver_lhs71" localSheetId="4" hidden="1">'Volatility Smile'!$L$4</definedName>
    <definedName name="solver_lhs72" localSheetId="4" hidden="1">'Volatility Smile'!$L$4</definedName>
    <definedName name="solver_lhs73" localSheetId="4" hidden="1">'Volatility Smile'!$L$4</definedName>
    <definedName name="solver_lhs74" localSheetId="4" hidden="1">'Volatility Smile'!$L$4</definedName>
    <definedName name="solver_lhs75" localSheetId="4" hidden="1">'Volatility Smile'!$L$4</definedName>
    <definedName name="solver_lhs76" localSheetId="4" hidden="1">'Volatility Smile'!$L$4</definedName>
    <definedName name="solver_lhs77" localSheetId="4" hidden="1">'Volatility Smile'!$L$4</definedName>
    <definedName name="solver_lhs78" localSheetId="4" hidden="1">'Volatility Smile'!$L$4</definedName>
    <definedName name="solver_lhs79" localSheetId="4" hidden="1">'Volatility Smile'!$L$4</definedName>
    <definedName name="solver_lhs8" localSheetId="1" hidden="1">Inputs!#REF!</definedName>
    <definedName name="solver_lhs8" localSheetId="4" hidden="1">'Volatility Smile'!$L$4</definedName>
    <definedName name="solver_lhs80" localSheetId="4" hidden="1">'Volatility Smile'!$L$4</definedName>
    <definedName name="solver_lhs81" localSheetId="4" hidden="1">'Volatility Smile'!$L$4</definedName>
    <definedName name="solver_lhs82" localSheetId="4" hidden="1">'Volatility Smile'!$L$4</definedName>
    <definedName name="solver_lhs83" localSheetId="4" hidden="1">'Volatility Smile'!$L$4</definedName>
    <definedName name="solver_lhs84" localSheetId="4" hidden="1">'Volatility Smile'!$L$4</definedName>
    <definedName name="solver_lhs85" localSheetId="4" hidden="1">'Volatility Smile'!$L$4</definedName>
    <definedName name="solver_lhs86" localSheetId="4" hidden="1">'Volatility Smile'!$L$4</definedName>
    <definedName name="solver_lhs87" localSheetId="4" hidden="1">'Volatility Smile'!$L$4</definedName>
    <definedName name="solver_lhs88" localSheetId="4" hidden="1">'Volatility Smile'!$L$4</definedName>
    <definedName name="solver_lhs89" localSheetId="4" hidden="1">'Volatility Smile'!$L$4</definedName>
    <definedName name="solver_lhs9" localSheetId="1" hidden="1">Inputs!#REF!</definedName>
    <definedName name="solver_lhs9" localSheetId="4" hidden="1">'Volatility Smile'!$L$4</definedName>
    <definedName name="solver_lhs90" localSheetId="4" hidden="1">'Volatility Smile'!$L$4</definedName>
    <definedName name="solver_lhs91" localSheetId="4" hidden="1">'Volatility Smile'!$L$4</definedName>
    <definedName name="solver_lhs92" localSheetId="4" hidden="1">'Volatility Smile'!$L$4</definedName>
    <definedName name="solver_lhs93" localSheetId="4" hidden="1">'Volatility Smile'!$L$4</definedName>
    <definedName name="solver_lhs94" localSheetId="4" hidden="1">'Volatility Smile'!$L$4</definedName>
    <definedName name="solver_lhs95" localSheetId="4" hidden="1">'Volatility Smile'!$L$4</definedName>
    <definedName name="solver_lhs96" localSheetId="4" hidden="1">'Volatility Smile'!$L$4</definedName>
    <definedName name="solver_lhs97" localSheetId="4" hidden="1">'Volatility Smile'!$L$4</definedName>
    <definedName name="solver_lhs98" localSheetId="4" hidden="1">'Volatility Smile'!$L$4</definedName>
    <definedName name="solver_lhs99" localSheetId="4" hidden="1">'Volatility Smile'!$L$4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1" hidden="1">10</definedName>
    <definedName name="solver_num" localSheetId="4" hidden="1">2</definedName>
    <definedName name="solver_nwt" localSheetId="4" hidden="1">1</definedName>
    <definedName name="solver_opt" localSheetId="1" hidden="1">Inputs!#REF!</definedName>
    <definedName name="solver_opt" localSheetId="4" hidden="1">'Volatility Smile'!$L$6</definedName>
    <definedName name="solver_pre" localSheetId="4" hidden="1">0.0000000000000001</definedName>
    <definedName name="solver_rbv" localSheetId="4" hidden="1">2</definedName>
    <definedName name="solver_rel1" localSheetId="1" hidden="1">3</definedName>
    <definedName name="solver_rel1" localSheetId="4" hidden="1">3</definedName>
    <definedName name="solver_rel10" localSheetId="1" hidden="1">1</definedName>
    <definedName name="solver_rel10" localSheetId="4" hidden="1">1</definedName>
    <definedName name="solver_rel100" localSheetId="4" hidden="1">3</definedName>
    <definedName name="solver_rel11" localSheetId="4" hidden="1">1</definedName>
    <definedName name="solver_rel12" localSheetId="4" hidden="1">1</definedName>
    <definedName name="solver_rel13" localSheetId="4" hidden="1">1</definedName>
    <definedName name="solver_rel14" localSheetId="4" hidden="1">1</definedName>
    <definedName name="solver_rel15" localSheetId="4" hidden="1">1</definedName>
    <definedName name="solver_rel16" localSheetId="4" hidden="1">1</definedName>
    <definedName name="solver_rel17" localSheetId="4" hidden="1">1</definedName>
    <definedName name="solver_rel18" localSheetId="4" hidden="1">1</definedName>
    <definedName name="solver_rel19" localSheetId="4" hidden="1">1</definedName>
    <definedName name="solver_rel2" localSheetId="1" hidden="1">1</definedName>
    <definedName name="solver_rel2" localSheetId="4" hidden="1">1</definedName>
    <definedName name="solver_rel20" localSheetId="4" hidden="1">1</definedName>
    <definedName name="solver_rel21" localSheetId="4" hidden="1">1</definedName>
    <definedName name="solver_rel22" localSheetId="4" hidden="1">1</definedName>
    <definedName name="solver_rel23" localSheetId="4" hidden="1">1</definedName>
    <definedName name="solver_rel24" localSheetId="4" hidden="1">1</definedName>
    <definedName name="solver_rel25" localSheetId="4" hidden="1">1</definedName>
    <definedName name="solver_rel26" localSheetId="4" hidden="1">1</definedName>
    <definedName name="solver_rel27" localSheetId="4" hidden="1">1</definedName>
    <definedName name="solver_rel28" localSheetId="4" hidden="1">1</definedName>
    <definedName name="solver_rel29" localSheetId="4" hidden="1">1</definedName>
    <definedName name="solver_rel3" localSheetId="1" hidden="1">3</definedName>
    <definedName name="solver_rel3" localSheetId="4" hidden="1">3</definedName>
    <definedName name="solver_rel30" localSheetId="4" hidden="1">1</definedName>
    <definedName name="solver_rel31" localSheetId="4" hidden="1">1</definedName>
    <definedName name="solver_rel32" localSheetId="4" hidden="1">1</definedName>
    <definedName name="solver_rel33" localSheetId="4" hidden="1">1</definedName>
    <definedName name="solver_rel34" localSheetId="4" hidden="1">1</definedName>
    <definedName name="solver_rel35" localSheetId="4" hidden="1">1</definedName>
    <definedName name="solver_rel36" localSheetId="4" hidden="1">1</definedName>
    <definedName name="solver_rel37" localSheetId="4" hidden="1">1</definedName>
    <definedName name="solver_rel38" localSheetId="4" hidden="1">1</definedName>
    <definedName name="solver_rel39" localSheetId="4" hidden="1">3</definedName>
    <definedName name="solver_rel4" localSheetId="1" hidden="1">1</definedName>
    <definedName name="solver_rel4" localSheetId="4" hidden="1">1</definedName>
    <definedName name="solver_rel40" localSheetId="4" hidden="1">3</definedName>
    <definedName name="solver_rel41" localSheetId="4" hidden="1">1</definedName>
    <definedName name="solver_rel42" localSheetId="4" hidden="1">3</definedName>
    <definedName name="solver_rel43" localSheetId="4" hidden="1">3</definedName>
    <definedName name="solver_rel44" localSheetId="4" hidden="1">3</definedName>
    <definedName name="solver_rel45" localSheetId="4" hidden="1">3</definedName>
    <definedName name="solver_rel46" localSheetId="4" hidden="1">3</definedName>
    <definedName name="solver_rel47" localSheetId="4" hidden="1">3</definedName>
    <definedName name="solver_rel48" localSheetId="4" hidden="1">3</definedName>
    <definedName name="solver_rel49" localSheetId="4" hidden="1">3</definedName>
    <definedName name="solver_rel5" localSheetId="1" hidden="1">3</definedName>
    <definedName name="solver_rel5" localSheetId="4" hidden="1">1</definedName>
    <definedName name="solver_rel50" localSheetId="4" hidden="1">3</definedName>
    <definedName name="solver_rel51" localSheetId="4" hidden="1">3</definedName>
    <definedName name="solver_rel52" localSheetId="4" hidden="1">3</definedName>
    <definedName name="solver_rel53" localSheetId="4" hidden="1">3</definedName>
    <definedName name="solver_rel54" localSheetId="4" hidden="1">3</definedName>
    <definedName name="solver_rel55" localSheetId="4" hidden="1">3</definedName>
    <definedName name="solver_rel56" localSheetId="4" hidden="1">3</definedName>
    <definedName name="solver_rel57" localSheetId="4" hidden="1">3</definedName>
    <definedName name="solver_rel58" localSheetId="4" hidden="1">3</definedName>
    <definedName name="solver_rel59" localSheetId="4" hidden="1">3</definedName>
    <definedName name="solver_rel6" localSheetId="1" hidden="1">1</definedName>
    <definedName name="solver_rel6" localSheetId="4" hidden="1">1</definedName>
    <definedName name="solver_rel60" localSheetId="4" hidden="1">3</definedName>
    <definedName name="solver_rel61" localSheetId="4" hidden="1">3</definedName>
    <definedName name="solver_rel62" localSheetId="4" hidden="1">3</definedName>
    <definedName name="solver_rel63" localSheetId="4" hidden="1">3</definedName>
    <definedName name="solver_rel64" localSheetId="4" hidden="1">3</definedName>
    <definedName name="solver_rel65" localSheetId="4" hidden="1">3</definedName>
    <definedName name="solver_rel66" localSheetId="4" hidden="1">3</definedName>
    <definedName name="solver_rel67" localSheetId="4" hidden="1">3</definedName>
    <definedName name="solver_rel68" localSheetId="4" hidden="1">3</definedName>
    <definedName name="solver_rel69" localSheetId="4" hidden="1">3</definedName>
    <definedName name="solver_rel7" localSheetId="1" hidden="1">3</definedName>
    <definedName name="solver_rel7" localSheetId="4" hidden="1">1</definedName>
    <definedName name="solver_rel70" localSheetId="4" hidden="1">3</definedName>
    <definedName name="solver_rel71" localSheetId="4" hidden="1">3</definedName>
    <definedName name="solver_rel72" localSheetId="4" hidden="1">3</definedName>
    <definedName name="solver_rel73" localSheetId="4" hidden="1">3</definedName>
    <definedName name="solver_rel74" localSheetId="4" hidden="1">3</definedName>
    <definedName name="solver_rel75" localSheetId="4" hidden="1">3</definedName>
    <definedName name="solver_rel76" localSheetId="4" hidden="1">3</definedName>
    <definedName name="solver_rel77" localSheetId="4" hidden="1">3</definedName>
    <definedName name="solver_rel78" localSheetId="4" hidden="1">3</definedName>
    <definedName name="solver_rel79" localSheetId="4" hidden="1">3</definedName>
    <definedName name="solver_rel8" localSheetId="1" hidden="1">1</definedName>
    <definedName name="solver_rel8" localSheetId="4" hidden="1">1</definedName>
    <definedName name="solver_rel80" localSheetId="4" hidden="1">3</definedName>
    <definedName name="solver_rel81" localSheetId="4" hidden="1">3</definedName>
    <definedName name="solver_rel82" localSheetId="4" hidden="1">3</definedName>
    <definedName name="solver_rel83" localSheetId="4" hidden="1">3</definedName>
    <definedName name="solver_rel84" localSheetId="4" hidden="1">3</definedName>
    <definedName name="solver_rel85" localSheetId="4" hidden="1">3</definedName>
    <definedName name="solver_rel86" localSheetId="4" hidden="1">3</definedName>
    <definedName name="solver_rel87" localSheetId="4" hidden="1">3</definedName>
    <definedName name="solver_rel88" localSheetId="4" hidden="1">3</definedName>
    <definedName name="solver_rel89" localSheetId="4" hidden="1">3</definedName>
    <definedName name="solver_rel9" localSheetId="1" hidden="1">3</definedName>
    <definedName name="solver_rel9" localSheetId="4" hidden="1">1</definedName>
    <definedName name="solver_rel90" localSheetId="4" hidden="1">3</definedName>
    <definedName name="solver_rel91" localSheetId="4" hidden="1">3</definedName>
    <definedName name="solver_rel92" localSheetId="4" hidden="1">3</definedName>
    <definedName name="solver_rel93" localSheetId="4" hidden="1">3</definedName>
    <definedName name="solver_rel94" localSheetId="4" hidden="1">3</definedName>
    <definedName name="solver_rel95" localSheetId="4" hidden="1">3</definedName>
    <definedName name="solver_rel96" localSheetId="4" hidden="1">3</definedName>
    <definedName name="solver_rel97" localSheetId="4" hidden="1">3</definedName>
    <definedName name="solver_rel98" localSheetId="4" hidden="1">3</definedName>
    <definedName name="solver_rel99" localSheetId="4" hidden="1">3</definedName>
    <definedName name="solver_rhs1" localSheetId="1" hidden="1">0.0001</definedName>
    <definedName name="solver_rhs1" localSheetId="4" hidden="1">0.0001</definedName>
    <definedName name="solver_rhs10" localSheetId="1" hidden="1">0.05</definedName>
    <definedName name="solver_rhs10" localSheetId="4" hidden="1">0.05</definedName>
    <definedName name="solver_rhs100" localSheetId="4" hidden="1">0.0001</definedName>
    <definedName name="solver_rhs11" localSheetId="4" hidden="1">0.05</definedName>
    <definedName name="solver_rhs12" localSheetId="4" hidden="1">0.05</definedName>
    <definedName name="solver_rhs13" localSheetId="4" hidden="1">0.05</definedName>
    <definedName name="solver_rhs14" localSheetId="4" hidden="1">0.05</definedName>
    <definedName name="solver_rhs15" localSheetId="4" hidden="1">0.05</definedName>
    <definedName name="solver_rhs16" localSheetId="4" hidden="1">0.05</definedName>
    <definedName name="solver_rhs17" localSheetId="4" hidden="1">0.05</definedName>
    <definedName name="solver_rhs18" localSheetId="4" hidden="1">0.05</definedName>
    <definedName name="solver_rhs19" localSheetId="4" hidden="1">0.05</definedName>
    <definedName name="solver_rhs2" localSheetId="1" hidden="1">0.05</definedName>
    <definedName name="solver_rhs2" localSheetId="4" hidden="1">0.05</definedName>
    <definedName name="solver_rhs20" localSheetId="4" hidden="1">0.05</definedName>
    <definedName name="solver_rhs21" localSheetId="4" hidden="1">0.05</definedName>
    <definedName name="solver_rhs22" localSheetId="4" hidden="1">0.05</definedName>
    <definedName name="solver_rhs23" localSheetId="4" hidden="1">0.05</definedName>
    <definedName name="solver_rhs24" localSheetId="4" hidden="1">0.05</definedName>
    <definedName name="solver_rhs25" localSheetId="4" hidden="1">0.05</definedName>
    <definedName name="solver_rhs26" localSheetId="4" hidden="1">0.05</definedName>
    <definedName name="solver_rhs27" localSheetId="4" hidden="1">0.05</definedName>
    <definedName name="solver_rhs28" localSheetId="4" hidden="1">0.05</definedName>
    <definedName name="solver_rhs29" localSheetId="4" hidden="1">0.05</definedName>
    <definedName name="solver_rhs3" localSheetId="1" hidden="1">0.0001</definedName>
    <definedName name="solver_rhs3" localSheetId="4" hidden="1">0.0001</definedName>
    <definedName name="solver_rhs30" localSheetId="4" hidden="1">0.05</definedName>
    <definedName name="solver_rhs31" localSheetId="4" hidden="1">0.05</definedName>
    <definedName name="solver_rhs32" localSheetId="4" hidden="1">0.05</definedName>
    <definedName name="solver_rhs33" localSheetId="4" hidden="1">0.05</definedName>
    <definedName name="solver_rhs34" localSheetId="4" hidden="1">0.05</definedName>
    <definedName name="solver_rhs35" localSheetId="4" hidden="1">0.05</definedName>
    <definedName name="solver_rhs36" localSheetId="4" hidden="1">0.05</definedName>
    <definedName name="solver_rhs37" localSheetId="4" hidden="1">0.05</definedName>
    <definedName name="solver_rhs38" localSheetId="4" hidden="1">0.07</definedName>
    <definedName name="solver_rhs39" localSheetId="4" hidden="1">0.0001</definedName>
    <definedName name="solver_rhs4" localSheetId="1" hidden="1">0.05</definedName>
    <definedName name="solver_rhs4" localSheetId="4" hidden="1">0.1</definedName>
    <definedName name="solver_rhs40" localSheetId="4" hidden="1">0.0001</definedName>
    <definedName name="solver_rhs41" localSheetId="4" hidden="1">0.05</definedName>
    <definedName name="solver_rhs42" localSheetId="4" hidden="1">0.0001</definedName>
    <definedName name="solver_rhs43" localSheetId="4" hidden="1">0.0001</definedName>
    <definedName name="solver_rhs44" localSheetId="4" hidden="1">0.0001</definedName>
    <definedName name="solver_rhs45" localSheetId="4" hidden="1">0.0001</definedName>
    <definedName name="solver_rhs46" localSheetId="4" hidden="1">0.0001</definedName>
    <definedName name="solver_rhs47" localSheetId="4" hidden="1">0.0001</definedName>
    <definedName name="solver_rhs48" localSheetId="4" hidden="1">0.0001</definedName>
    <definedName name="solver_rhs49" localSheetId="4" hidden="1">0.0001</definedName>
    <definedName name="solver_rhs5" localSheetId="1" hidden="1">0.0001</definedName>
    <definedName name="solver_rhs5" localSheetId="4" hidden="1">0.05</definedName>
    <definedName name="solver_rhs50" localSheetId="4" hidden="1">0.0001</definedName>
    <definedName name="solver_rhs51" localSheetId="4" hidden="1">0.0001</definedName>
    <definedName name="solver_rhs52" localSheetId="4" hidden="1">0.0001</definedName>
    <definedName name="solver_rhs53" localSheetId="4" hidden="1">0.0001</definedName>
    <definedName name="solver_rhs54" localSheetId="4" hidden="1">0.0001</definedName>
    <definedName name="solver_rhs55" localSheetId="4" hidden="1">0.0001</definedName>
    <definedName name="solver_rhs56" localSheetId="4" hidden="1">0.0001</definedName>
    <definedName name="solver_rhs57" localSheetId="4" hidden="1">0.0001</definedName>
    <definedName name="solver_rhs58" localSheetId="4" hidden="1">0.0001</definedName>
    <definedName name="solver_rhs59" localSheetId="4" hidden="1">0.0001</definedName>
    <definedName name="solver_rhs6" localSheetId="1" hidden="1">0.05</definedName>
    <definedName name="solver_rhs6" localSheetId="4" hidden="1">0.05</definedName>
    <definedName name="solver_rhs60" localSheetId="4" hidden="1">0.0001</definedName>
    <definedName name="solver_rhs61" localSheetId="4" hidden="1">0.0001</definedName>
    <definedName name="solver_rhs62" localSheetId="4" hidden="1">0.0001</definedName>
    <definedName name="solver_rhs63" localSheetId="4" hidden="1">0.0001</definedName>
    <definedName name="solver_rhs64" localSheetId="4" hidden="1">0.0001</definedName>
    <definedName name="solver_rhs65" localSheetId="4" hidden="1">0.0001</definedName>
    <definedName name="solver_rhs66" localSheetId="4" hidden="1">0.0001</definedName>
    <definedName name="solver_rhs67" localSheetId="4" hidden="1">0.0001</definedName>
    <definedName name="solver_rhs68" localSheetId="4" hidden="1">0.0001</definedName>
    <definedName name="solver_rhs69" localSheetId="4" hidden="1">0.0001</definedName>
    <definedName name="solver_rhs7" localSheetId="1" hidden="1">0.0001</definedName>
    <definedName name="solver_rhs7" localSheetId="4" hidden="1">0.05</definedName>
    <definedName name="solver_rhs70" localSheetId="4" hidden="1">0.0001</definedName>
    <definedName name="solver_rhs71" localSheetId="4" hidden="1">0.0001</definedName>
    <definedName name="solver_rhs72" localSheetId="4" hidden="1">0.0001</definedName>
    <definedName name="solver_rhs73" localSheetId="4" hidden="1">0.0001</definedName>
    <definedName name="solver_rhs74" localSheetId="4" hidden="1">0.0001</definedName>
    <definedName name="solver_rhs75" localSheetId="4" hidden="1">0.0001</definedName>
    <definedName name="solver_rhs76" localSheetId="4" hidden="1">0.0001</definedName>
    <definedName name="solver_rhs77" localSheetId="4" hidden="1">0.0001</definedName>
    <definedName name="solver_rhs78" localSheetId="4" hidden="1">0.0001</definedName>
    <definedName name="solver_rhs79" localSheetId="4" hidden="1">0.0001</definedName>
    <definedName name="solver_rhs8" localSheetId="1" hidden="1">0.05</definedName>
    <definedName name="solver_rhs8" localSheetId="4" hidden="1">0.05</definedName>
    <definedName name="solver_rhs80" localSheetId="4" hidden="1">0.0001</definedName>
    <definedName name="solver_rhs81" localSheetId="4" hidden="1">0.0001</definedName>
    <definedName name="solver_rhs82" localSheetId="4" hidden="1">0.0001</definedName>
    <definedName name="solver_rhs83" localSheetId="4" hidden="1">0.0001</definedName>
    <definedName name="solver_rhs84" localSheetId="4" hidden="1">0.0001</definedName>
    <definedName name="solver_rhs85" localSheetId="4" hidden="1">0.0001</definedName>
    <definedName name="solver_rhs86" localSheetId="4" hidden="1">0.0001</definedName>
    <definedName name="solver_rhs87" localSheetId="4" hidden="1">0.0001</definedName>
    <definedName name="solver_rhs88" localSheetId="4" hidden="1">0.0001</definedName>
    <definedName name="solver_rhs89" localSheetId="4" hidden="1">0.0001</definedName>
    <definedName name="solver_rhs9" localSheetId="1" hidden="1">0.0001</definedName>
    <definedName name="solver_rhs9" localSheetId="4" hidden="1">0.05</definedName>
    <definedName name="solver_rhs90" localSheetId="4" hidden="1">0.0001</definedName>
    <definedName name="solver_rhs91" localSheetId="4" hidden="1">0.0001</definedName>
    <definedName name="solver_rhs92" localSheetId="4" hidden="1">0.0001</definedName>
    <definedName name="solver_rhs93" localSheetId="4" hidden="1">0.0001</definedName>
    <definedName name="solver_rhs94" localSheetId="4" hidden="1">0.0001</definedName>
    <definedName name="solver_rhs95" localSheetId="4" hidden="1">0.0001</definedName>
    <definedName name="solver_rhs96" localSheetId="4" hidden="1">0.0001</definedName>
    <definedName name="solver_rhs97" localSheetId="4" hidden="1">0.0001</definedName>
    <definedName name="solver_rhs98" localSheetId="4" hidden="1">0.0001</definedName>
    <definedName name="solver_rhs99" localSheetId="4" hidden="1">0.0001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2</definedName>
    <definedName name="solver_typ" localSheetId="4" hidden="1">2</definedName>
    <definedName name="solver_val" localSheetId="1" hidden="1">0</definedName>
    <definedName name="solver_val" localSheetId="4" hidden="1">0</definedName>
    <definedName name="solver_ver" localSheetId="4" hidden="1">3</definedName>
    <definedName name="srad" hidden="1">{#N/A,#N/A,FALSE,"Aging Summary";#N/A,#N/A,FALSE,"Ratio Analysis";#N/A,#N/A,FALSE,"Test 120 Day Accts";#N/A,#N/A,FALSE,"Tickmarks"}</definedName>
    <definedName name="Swvu.CAPA." hidden="1">#REF!</definedName>
    <definedName name="Swvu.CSTO._.FASE." hidden="1">#REF!</definedName>
    <definedName name="Swvu.CSTO._.FIXO." hidden="1">#REF!</definedName>
    <definedName name="Swvu.D._.CMI." hidden="1">#REF!</definedName>
    <definedName name="Swvu.D._.REAIS." hidden="1">#REF!</definedName>
    <definedName name="Swvu.D._.US." hidden="1">#REF!</definedName>
    <definedName name="Swvu.EQUIV.._.MES." hidden="1">#REF!</definedName>
    <definedName name="Swvu.INDICE." hidden="1">#REF!</definedName>
    <definedName name="Swvu.RESUL._.T." hidden="1">#REF!</definedName>
    <definedName name="T">'Discount Curve'!$I$3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st" hidden="1">{#N/A,#N/A,FALSE,"Aging Summary";#N/A,#N/A,FALSE,"Ratio Analysis";#N/A,#N/A,FALSE,"Test 120 Day Accts";#N/A,#N/A,FALSE,"Tickmarks"}</definedName>
    <definedName name="TextRefCopyRangeCount" hidden="1">2</definedName>
    <definedName name="todos1" hidden="1">{#N/A,#N/A,FALSE,"GRAF.";"USGV",#N/A,FALSE,"S-USGV";"MDE",#N/A,FALSE,"S-MDE";"BELGO",#N/A,FALSE,"S-BELGO";#N/A,#N/A,FALSE,"CAPA"}</definedName>
    <definedName name="todos3" hidden="1">{#N/A,#N/A,FALSE,"S-USGV";#N/A,#N/A,FALSE,"S-MDE";#N/A,#N/A,FALSE,"S-BELGO";#N/A,#N/A,FALSE,"CAPA"}</definedName>
    <definedName name="tr" hidden="1">{"USGV",#N/A,FALSE,"S-USGV"}</definedName>
    <definedName name="tref" hidden="1">{"FORM 2",#N/A,FALSE,"Plan3"}</definedName>
    <definedName name="trlt" hidden="1">{"BELGO",#N/A,FALSE,"S-BELGO"}</definedName>
    <definedName name="ttt" hidden="1">{#N/A,#N/A,FALSE,"Aging Summary";#N/A,#N/A,FALSE,"Ratio Analysis";#N/A,#N/A,FALSE,"Test 120 Day Accts";#N/A,#N/A,FALSE,"Tickmarks"}</definedName>
    <definedName name="ty" hidden="1">{"MDE",#N/A,FALSE,"S-MDE"}</definedName>
    <definedName name="Type">Inputs!$D$8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iviane" hidden="1">{#N/A,#N/A,FALSE,"GRAF.";"USGV",#N/A,FALSE,"S-USGV";"MDE",#N/A,FALSE,"S-MDE";"BELGO",#N/A,FALSE,"S-BELGO";#N/A,#N/A,FALSE,"CAPA"}</definedName>
    <definedName name="Volatility">Inputs!$D$15</definedName>
    <definedName name="VolatilityCalibration">'Volatility Smile'!$L$4</definedName>
    <definedName name="Workcap4" hidden="1">{#N/A,#N/A,FALSE,"Aging Summary";#N/A,#N/A,FALSE,"Ratio Analysis";#N/A,#N/A,FALSE,"Test 120 Day Accts";#N/A,#N/A,FALSE,"Tickmarks"}</definedName>
    <definedName name="working_capital" hidden="1">{#N/A,#N/A,FALSE,"Aging Summary";#N/A,#N/A,FALSE,"Ratio Analysis";#N/A,#N/A,FALSE,"Test 120 Day Accts";#N/A,#N/A,FALSE,"Tickmarks"}</definedName>
    <definedName name="wrn.AANBIEDING." hidden="1">{#N/A,#N/A,FALSE,"Besr Frek Graph";#N/A,#N/A,FALSE,"OMV Verslag Graf";#N/A,#N/A,FALSE,"Klagtes Graf";#N/A,#N/A,FALSE,"KV - Kostes Graf"}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L._.REPORTS." hidden="1">{#N/A,#N/A,FALSE,"Raw Materials - 1430";#N/A,#N/A,FALSE,"Semi-Finished - 1420";#N/A,#N/A,FALSE,"Finished - 1400";#N/A,#N/A,FALSE,"Home Scrap &amp; Molds";#N/A,#N/A,FALSE,"Aging Reserves";#N/A,#N/A,FALSE,"Variance Summary";#N/A,#N/A,FALSE,"Sales"}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TUAL." hidden="1">{#N/A,#N/A,FALSE,"capa-geral";#N/A,#N/A,FALSE,"resumo";#N/A,#N/A,FALSE,"capa-belgo";#N/A,#N/A,FALSE,"BEL-fluxocaixa";#N/A,#N/A,FALSE,"BEL-resultado";#N/A,#N/A,FALSE,"BEL-vendas";#N/A,#N/A,FALSE,"BEL-compras-ditref";#N/A,#N/A,FALSE,"BEL-custos";#N/A,#N/A,FALSE,"BEL-amortizacao e juros";#N/A,#N/A,FALSE,"BEL-saldoinicial";#N/A,#N/A,FALSE,"capa-BMP";#N/A,#N/A,FALSE,"capa-ACOMINAS";#N/A,#N/A,FALSE,"capa-ACOMINAS";#N/A,#N/A,FALSE,"acominas";#N/A,#N/A,FALSE,"acominas-base";#N/A,#N/A,FALSE,"capa-BMP";#N/A,#N/A,FALSE,"BMP-fluxocaixa";#N/A,#N/A,FALSE,"BMP-amortizacao"}</definedName>
    <definedName name="wrn.BANCOS." hidden="1">{"BAL",#N/A,FALSE,"BCOS";"RES",#N/A,FALSE,"BCOS"}</definedName>
    <definedName name="wrn.BCO._.DOLARES." hidden="1">{"GPATIVO",#N/A,FALSE,"GP";"GPPASSIVO",#N/A,FALSE,"GP";"RESDIARIO",#N/A,FALSE,"GP";"ALOCACAO",#N/A,FALSE,"GP"}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EKAERT." hidden="1">{"BALANCE",#N/A,FALSE,"BALBK";"STATEMENT",#N/A,FALSE,"RESBK";"MUT BEKAERT",#N/A,FALSE,"MUT US$";"DOAR",#N/A,FALSE,"DOARBK"}</definedName>
    <definedName name="wrn.BELGO." hidden="1">{"port",#N/A,FALSE,"CONSOL";"QUA",#N/A,FALSE,"PROD E VENDAS";"qua",#N/A,FALSE,"RECHUMAEPRODUT";"QUA",#N/A,FALSE,"RECCPVPORTON";"qua",#N/A,FALSE,"BALANCO";"qua",#N/A,FALSE,"RESULTADO";"QUA",#N/A,FALSE,"RESULTADOPORTON";"QUA",#N/A,FALSE,"PRINCRESECOFIN";"QUA",#N/A,FALSE,"PROD"}</definedName>
    <definedName name="wrn.BOOK1.XLS." hidden="1">{#N/A,#N/A,FALSE,"Sheet1"}</definedName>
    <definedName name="wrn.CAPA." hidden="1">{"CAPA",#N/A,FALSE,"CAPA"}</definedName>
    <definedName name="wrn.CAPA._.IND." hidden="1">{"INDICE",#N/A,FALSE,"CAPA - DIVISÕES - ÍNDICE";"CAPA",#N/A,FALSE,"CAPA - DIVISÕES - ÍNDICE"}</definedName>
    <definedName name="wrn.CAPA._.IND._.DIV." hidden="1">{"D US",#N/A,FALSE,"CAPA - DIVISÕES - ÍNDICE";"D REIAS",#N/A,FALSE,"CAPA - DIVISÕES - ÍNDICE";"D CMI",#N/A,FALSE,"CAPA - DIVISÕES - ÍNDICE";"INDICE",#N/A,FALSE,"CAPA - DIVISÕES - ÍNDICE";"CAPA",#N/A,FALSE,"CAPA - DIVISÕES - ÍNDICE"}</definedName>
    <definedName name="wrn.celkový._.tisk._.detail." hidden="1">{"celkový rozpočet - detail",#N/A,FALSE,"Aktualizace č. 1"}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ELHO." hidden="1">{"CONSELHO ACUM",#N/A,FALSE,"RES US$";"BAL CONSELHO",#N/A,FALSE,"BAL US$";"RESMENSAL CONS",#N/A,FALSE,"RES R$";"RESACUM CONS",#N/A,FALSE,"RES R$";"BALR CONSELHO",#N/A,FALSE,"BAL R$"}</definedName>
    <definedName name="wrn.CONSOL._.GERAL." hidden="1">{"BAL",#N/A,FALSE,"BDCONSOL";"RES",#N/A,FALSE,"BDCONSOL";"ACIONISTA",#N/A,FALSE,"BDCONSOL"}</definedName>
    <definedName name="wrn.CONSOL._.SETOR." hidden="1">{"CONSOL BAL",#N/A,FALSE,"BAL";"CONSOL RES",#N/A,FALSE,"DRE";"qua (RELAT)",#N/A,FALSE,"BDCONSOL"}</definedName>
    <definedName name="wrn.CONTROLADAS." hidden="1">{"qua",#N/A,FALSE,"BMP";"qua",#N/A,FALSE,"DEDINI";"qua",#N/A,FALSE,"SAMITRI";"QUA",#N/A,FALSE,"SAMARCO"}</definedName>
    <definedName name="wrn.CUSTOS." hidden="1">{"CSTO FIXO",#N/A,FALSE,"CSTO FIXO";"CSTO FASE",#N/A,FALSE,"CUSTOS"}</definedName>
    <definedName name="wrn.CX._.RESUL." hidden="1">{"RESUL T",#N/A,FALSE,"RESULT.R$-T";"CAIXA",#N/A,FALSE,"FLUXO CAIXA";"RESUL",#N/A,FALSE,"RESULT."}</definedName>
    <definedName name="wrn.DADOS._.ANUAL." hidden="1">{"BALANCO",#N/A,FALSE,"BAL CMI";"RESMENSAL",#N/A,FALSE,"RESULCMI";"RESACUM",#N/A,FALSE,"RESULCMI";"DOARACUM",#N/A,FALSE,"DOAR CMI";"MUT",#N/A,FALSE,"MUTACOES"}</definedName>
    <definedName name="wrn.DADOS._.PARA._.ARQUIVO." hidden="1">{"GPATIVO",#N/A,FALSE,"GP";"GPPASSIVO",#N/A,FALSE,"GP";"RESUFIR",#N/A,FALSE,"GP";"MOV MES ATIVO",#N/A,FALSE,"GP";"MOV MES PASSIVO",#N/A,FALSE,"GP";"ALOCACAO",#N/A,FALSE,"GP";"DIFVM",#N/A,FALSE,"DIF CM- VM";"BALANCO",#N/A,FALSE,"BAL CMI";"RESACUM",#N/A,FALSE,"RESULCMI";"DOARACUM",#N/A,FALSE,"DOAR CMI";"MUT",#N/A,FALSE,"MUTACOES";"CONCILIA",#N/A,FALSE,"CONCILIA";"SUMARIO",#N/A,FALSE,"SUMARIO"}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NTDADOS." hidden="1">{"ENTDADOS 7",#N/A,FALSE,"BDADOS ";"ENTDADOS 6",#N/A,FALSE,"BDADOS ";"ENTDADOS 5",#N/A,FALSE,"BDADOS ";"ENTDADOS 4",#N/A,FALSE,"BDADOS ";"ENTDADOS 3",#N/A,FALSE,"BDADOS ";"ENTDADOS 1",#N/A,FALSE,"BDADOS ";"ENTDADOS 2",#N/A,FALSE,"BDADOS "}</definedName>
    <definedName name="wrn.EQUIV." hidden="1">{"EQUIV. MES",#N/A,FALSE,"EQUIV-MES";"EQUIV. ANO",#N/A,FALSE,"EQUIV-ANO"}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ORM._.2." hidden="1">{"FORM 2",#N/A,FALSE,"Plan3"}</definedName>
    <definedName name="wrn.FORM1." hidden="1">{"FORM 1",#N/A,FALSE,"Plan3"}</definedName>
    <definedName name="wrn.GESTÃO." hidden="1">{#N/A,#N/A,FALSE,"Plan2";#N/A,#N/A,FALSE,"Plan3";#N/A,#N/A,FALSE,"Plan4";#N/A,#N/A,FALSE,"Plan5";#N/A,#N/A,FALSE,"Plan6";#N/A,#N/A,FALSE,"Plan14";#N/A,#N/A,FALSE,"Plan13";#N/A,#N/A,FALSE,"Plan12";#N/A,#N/A,FALSE,"Plan11";#N/A,#N/A,FALSE,"Plan10";#N/A,#N/A,FALSE,"Plan9";#N/A,#N/A,FALSE,"Plan8"}</definedName>
    <definedName name="wrn.GESTÃO1." hidden="1">{#N/A,#N/A,FALSE,"Plan22";#N/A,#N/A,FALSE,"Plan21";#N/A,#N/A,FALSE,"Plan20";#N/A,#N/A,FALSE,"Plan19";#N/A,#N/A,FALSE,"Plan18";#N/A,#N/A,FALSE,"Plan17";#N/A,#N/A,FALSE,"Plan16"}</definedName>
    <definedName name="wrn.INV._.ANO." hidden="1">{#N/A,#N/A,FALSE,"RESUMO-ANO"}</definedName>
    <definedName name="wrn.INV._.CMI." hidden="1">{#N/A,#N/A,FALSE,"RESUMO"}</definedName>
    <definedName name="wrn.INVEST." hidden="1">{#N/A,#N/A,FALSE,"RESUMO-ANO";#N/A,#N/A,FALSE,"RESUMO"}</definedName>
    <definedName name="wrn.M._.SION." hidden="1">{"RESMES",#N/A,FALSE,"RES US$";"RESACUM",#N/A,FALSE,"RES US$";"SUMARIO",#N/A,FALSE,"SUMARIO"}</definedName>
    <definedName name="wrn.MDE." hidden="1">{"MDE",#N/A,FALSE,"S-MDE"}</definedName>
    <definedName name="wrn.MUT._.BEKAL." hidden="1">{"MUTLS MES",#N/A,FALSE,"MUT TARGET";"MUTLS ANUAL",#N/A,FALSE,"MUT TARGET"}</definedName>
    <definedName name="wrn.MUT._.BELGO." hidden="1">{"MUT BELGO MES",#N/A,FALSE,"MUT TARGET";"MUT BELGO ANUAL",#N/A,FALSE,"MUT TARGET";"MUT MES",#N/A,FALSE,"MUT US$";"MUT ANUAL",#N/A,FALSE,"MUT US$"}</definedName>
    <definedName name="wrn.NILTON." hidden="1">{"BAL",#N/A,FALSE,"BAL US$";"RESMES",#N/A,FALSE,"RES US$";"RESACUM",#N/A,FALSE,"RES US$";"BALR",#N/A,FALSE,"BAL R$";"RESMENSAL",#N/A,FALSE,"RES R$";"RESACUM",#N/A,FALSE,"RES R$"}</definedName>
    <definedName name="wrn.NORMAL." hidden="1">{"port",#N/A,FALSE,"CONSOL";"port",#N/A,FALSE,"DOPER";"PORT",#N/A,FALSE,"BAL";"port",#N/A,FALSE,"PROD"}</definedName>
    <definedName name="wrn.PERFIL." hidden="1">{"GRAFICO",#N/A,FALSE,"EVOLUÇÃO DA DÍVIDA";"PERFIL",#N/A,FALSE,"PERFIL"}</definedName>
    <definedName name="wrn.PRELIMINAR." hidden="1">{"BALANCO",#N/A,FALSE,"BAL CMI";"RESMENSAL",#N/A,FALSE,"RESULCMI";"RESACUM",#N/A,FALSE,"RESULCMI";"RESMENSALPERC",#N/A,FALSE,"RESULCMI";"RESACUMPERC",#N/A,FALSE,"RESULCMI";"CONCILIA",#N/A,FALSE,"CONCILIA";"IR DIF",#N/A,FALSE,"CONCILIA";"DIFVM",#N/A,FALSE,"DIF CM- VM";"SUMARIO",#N/A,FALSE,"SUMARIO"}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ISEM." hidden="1">{"PRISEM",#N/A,FALSE,"MOV"}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QUADROS._.APRES." hidden="1">{"QD OUTROS",#N/A,FALSE,"SETOR OURTROS";"TREFILARIAS APRES",#N/A,FALSE,"SETOR TREFILARIAS APRES";"CONTROLADORA APRES",#N/A,FALSE,"CONTROLADORA";"MINERAÇÃO APRES",#N/A,FALSE,"SETOR MINERAÇÃO APRES";"SIDERURGIA APRES",#N/A,FALSE,"SETOR SIDERURGIA APRES";"QD V. CAMBIAL",#N/A,FALSE,"V.CAMBIAL"}</definedName>
    <definedName name="wrn.QUADROS._.ITR." hidden="1">{"QD CONTROLADORA",#N/A,FALSE,"CONTROLADORA";"QD MINERAÇÃO",#N/A,FALSE,"SETOR MINERAÇÃO";"QD SIDERURGIA",#N/A,FALSE,"SETOR SIDERURGIA";"QD TREFILARIAS",#N/A,FALSE,"SETOR TREFILARIAS";"QD OUTROS",#N/A,FALSE,"SETOR OURTROS";"V.CAMBIAL",#N/A,FALSE,"V.CAMBIAL ITR";"QD V. CAMBIAL",#N/A,FALSE,"V.CAMBIAL ITR"}</definedName>
    <definedName name="wrn.Reed." hidden="1">{#N/A,#N/A,TRUE,"Fuels";#N/A,#N/A,TRUE,"HPLPstm";#N/A,#N/A,TRUE,"LPstm"}</definedName>
    <definedName name="wrn.REL." hidden="1">{"PAG1",#N/A,FALSE,"MOV";"PAG2",#N/A,FALSE,"MOV";"PAG3",#N/A,FALSE,"MOV";"PAG4",#N/A,FALSE,"MOV";"PAG5",#N/A,FALSE,"MOV";"PAG6",#N/A,FALSE,"MOV";"PAG7",#N/A,FALSE,"MOV"}</definedName>
    <definedName name="wrn.REL._.BASICO." hidden="1">{"BALANCO",#N/A,FALSE,"BAL CMI";"RESMENSAL",#N/A,FALSE,"RESULCMI";"RESACUM",#N/A,FALSE,"RESULCMI";"DOARMENSAL",#N/A,FALSE,"DOAR CMI";"DOARACUM",#N/A,FALSE,"DOAR CMI";"SUMARIO",#N/A,FALSE,"SUMARIO"}</definedName>
    <definedName name="wrn.REL._.PARA._.CONFERENCIA." hidden="1">{"BALANCO",#N/A,FALSE,"BAL CMI";"RESMENSAL",#N/A,FALSE,"RESULCMI";"RESACUM",#N/A,FALSE,"RESULCMI";"DOARACUM",#N/A,FALSE,"DOAR CMI";"CONCILIA",#N/A,FALSE,"CONCILIA";"SUMARIO",#N/A,FALSE,"SUMARIO";"DIFVM",#N/A,FALSE,"DIF CM- VM";"MUT",#N/A,FALSE,"MUTACOES"}</definedName>
    <definedName name="wrn.RELATORIO._.MENSAL." hidden="1">{"EVOIND",#N/A,FALSE,"EVO IND";"SUMARIO",#N/A,FALSE,"SUMARIO";"INFGER",#N/A,FALSE,"INF GER";"BALANCO",#N/A,FALSE,"BAL CMI";"RESMENSAL",#N/A,FALSE,"RESULCMI";"RESACUM",#N/A,FALSE,"RESULCMI";"RESMENSALPERC",#N/A,FALSE,"RESULCMI";"RESACUMPERC",#N/A,FALSE,"RESULCMI";"DOARACUM",#N/A,FALSE,"DOAR CMI";"MUT",#N/A,FALSE,"MUTACOES";"NOTAS1",#N/A,FALSE,"NOTAS";"NOTAS2",#N/A,FALSE,"NOTAS"}</definedName>
    <definedName name="wrn.RELDOLAR." hidden="1">{"BAL",#N/A,TRUE,"BAL US$";"RESMES",#N/A,TRUE,"RES US$";"RESACUM",#N/A,TRUE,"RES US$";"DOARMENSAL",#N/A,TRUE,"DOAR US$";"DOARACUM",#N/A,TRUE,"DOAR US$";"MUT MES",#N/A,TRUE,"MUT US$";"MUT ANUAL",#N/A,TRUE,"MUT US$"}</definedName>
    <definedName name="wrn.RELSOCIETARIO." hidden="1">{"BALR",#N/A,FALSE,"BAL R$";"RESMENSAL",#N/A,FALSE,"RES R$";"RESACUM",#N/A,FALSE,"RES R$";"DOARMES",#N/A,FALSE,"DOAR R$";"DOARACUM",#N/A,FALSE,"DOAR R$";"MUT BELGO MES",#N/A,FALSE,"MUT TARGET";"MUT BELGO ANUAL",#N/A,FALSE,"MUT TARGET";"SUMARIO",#N/A,FALSE,"SUMARIO"}</definedName>
    <definedName name="wrn.RELVEN." hidden="1">{#N/A,#N/A,FALSE,"CONSJAN.XLS";#N/A,#N/A,FALSE,"MIX - ANO ATUAL X ANTERIOR";#N/A,#N/A,FALSE,"receita,ton - atual x anterior";#N/A,#N/A,FALSE,"MIX - MES PREVISAO X REAL";#N/A,#N/A,FALSE,"resumo tonelagem x receita";#N/A,#N/A,FALSE,"COMPARACAO - ORCAMENTO"}</definedName>
    <definedName name="wrn.Reports." hidden="1">{#N/A,#N/A,TRUE,"O2_r";#N/A,#N/A,TRUE,"N2_r";#N/A,#N/A,TRUE,"H2_r";#N/A,#N/A,TRUE,"NG_r";#N/A,#N/A,TRUE,"MG_r";#N/A,#N/A,TRUE,"BFG_r";#N/A,#N/A,TRUE,"FO_r";#N/A,#N/A,TRUE,"HPS_r";#N/A,#N/A,TRUE,"LPS_r"}</definedName>
    <definedName name="wrn.ROBERVAL." hidden="1">{"FATURAMENTO",#N/A,FALSE,"RESUMO DAS VENDAS EM R$";"IMPOSTOS",#N/A,FALSE,"RESUMO DAS VENDAS EM R$";"FRETERS",#N/A,FALSE,"RESUMO DAS VENDAS EM R$";"FRETETON",#N/A,FALSE,"RESUMO DAS VENDAS EM R$"}</definedName>
    <definedName name="wrn.SEGSEM." hidden="1">{"SEGSEM",#N/A,FALSE,"MOV"}</definedName>
    <definedName name="wrn.SINERGIA." hidden="1">{#N/A,#N/A,FALSE,"capa-geral";#N/A,#N/A,FALSE,"resumo";#N/A,#N/A,FALSE,"capa-belgo";#N/A,#N/A,FALSE,"BEL-fluxocaixa";#N/A,#N/A,FALSE,"BEL-resultado";#N/A,#N/A,FALSE,"BEL-vendas";#N/A,#N/A,FALSE,"BEL-custos";#N/A,#N/A,FALSE,"BEL-amortizacao e juros";#N/A,#N/A,FALSE,"capa-ACOMINAS";#N/A,#N/A,FALSE,"acominas";#N/A,#N/A,FALSE,"acominas-base";#N/A,#N/A,FALSE,"capa-BMP";#N/A,#N/A,FALSE,"BMP-fluxocaixa";#N/A,#N/A,FALSE,"BMP-amortizacao";#N/A,#N/A,FALSE,"BMP-tarugosacominas"}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SOURARIA." hidden="1">{"BALR",#N/A,FALSE,"BAL R$";"RESMENSAL",#N/A,FALSE,"RES R$";"RESACUM",#N/A,FALSE,"RES R$";"ENDIVIDAMENTO",#N/A,FALSE,"ENDIV-CAP GIRO";"WORKING CAPITAL",#N/A,FALSE,"ENDIV-CAP GIRO"}</definedName>
    <definedName name="wrn.TODOS." hidden="1">{"EQUIV. MES",#N/A,FALSE,"EQUIV-MES";"EQUIV. ANO",#N/A,FALSE,"EQUIV-ANO";"GRAFICO",#N/A,FALSE,"EVOLUÇÃO DA DÍVIDA";"PERFIL",#N/A,FALSE,"PERFIL";"CSTO FIXO",#N/A,FALSE,"CSTO FIXO";"CSTO FASE",#N/A,FALSE,"CUSTOS";"CAIXA",#N/A,FALSE,"FLUXO CAIXA";"RESUL",#N/A,FALSE,"RESULT."}</definedName>
    <definedName name="wrn.TODOS._.2." hidden="1">{#N/A,#N/A,FALSE,"S-USGV";#N/A,#N/A,FALSE,"S-MDE";#N/A,#N/A,FALSE,"S-BELGO";#N/A,#N/A,FALSE,"CAPA"}</definedName>
    <definedName name="wrn.TRADUZIDO." hidden="1">{"ingl",#N/A,FALSE,"DOPER";"INGL",#N/A,FALSE,"BAL";"INGL",#N/A,FALSE,"PROD";"ingl",#N/A,FALSE,"CONSOL"}</definedName>
    <definedName name="wrn.USGV." hidden="1">{"USGV",#N/A,FALSE,"S-USGV"}</definedName>
    <definedName name="wrn.W._.CAIXA." hidden="1">{"CAIXA",#N/A,FALSE,"FLUXO CAIXA"}</definedName>
    <definedName name="wrn.W._.CAPA." hidden="1">{"CAPA",#N/A,FALSE,"CAPA - DIVISÕES - ÍNDICE"}</definedName>
    <definedName name="wrn.W._.CUSTO._.FASE." hidden="1">{"CSTO FASE",#N/A,FALSE,"CUSTOS"}</definedName>
    <definedName name="wrn.W._.CUSTO._.FIXO." hidden="1">{"CSTO FIXO",#N/A,FALSE,"CSTO FIXO"}</definedName>
    <definedName name="wrn.W._.EQUIV.._.ANO." hidden="1">{"EQUIV. ANO",#N/A,FALSE,"EQUIV-ANO"}</definedName>
    <definedName name="wrn.W._.EQUIV._.MES." hidden="1">{"EQUIV. MES",#N/A,FALSE,"EQUIV-MES"}</definedName>
    <definedName name="wrn.W._.GRAFICO." hidden="1">{"GRAFICO",#N/A,FALSE,"EVOLUÇÃO DA DÍVIDA"}</definedName>
    <definedName name="wrn.W._.INDICE." hidden="1">{"INDICE",#N/A,FALSE,"CAPA - DIVISÕES - ÍNDICE"}</definedName>
    <definedName name="wrn.W._.PERFIL." hidden="1">{"PERFIL",#N/A,FALSE,"PERFIL"}</definedName>
    <definedName name="wrn.W._.RESUL." hidden="1">{"RESUL T",#N/A,FALSE,"RESULT.R$-T";"RESUL",#N/A,FALSE,"RESULT."}</definedName>
    <definedName name="wrn.Weekly." hidden="1">{#N/A,#N/A,FALSE,"BF";#N/A,#N/A,FALSE,"BOP";#N/A,#N/A,FALSE,"SS";#N/A,#N/A,FALSE,"TM";#N/A,#N/A,FALSE,"SM";#N/A,#N/A,FALSE,"BF1";#N/A,#N/A,FALSE,"BOP1"}</definedName>
    <definedName name="wrnEventual2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vu.CAPA." hidden="1">{TRUE,TRUE,-0.5,-14.75,483,275.25,FALSE,FALSE,TRUE,TRUE,0,1,#N/A,46,#N/A,7.47727272727273,17.5294117647059,1,FALSE,FALSE,3,TRUE,1,FALSE,100,"Swvu.CAPA.","ACwvu.CAPA.",#N/A,FALSE,FALSE,0,0,0,0,1,"","",TRUE,TRUE,FALSE,FALSE,1,100,#N/A,#N/A,"=R1C1:R54C11",FALSE,#N/A,#N/A,FALSE,FALSE,TRUE,9,300,300,FALSE,FALSE,TRUE,TRUE,TRUE}</definedName>
    <definedName name="wvu.CSTO._.FASE." hidden="1">{TRUE,TRUE,-0.5,-14.75,483,275.25,FALSE,FALSE,TRUE,TRUE,0,1,#N/A,1,#N/A,5.47540983606557,16.3181818181818,1,FALSE,FALSE,3,TRUE,1,FALSE,100,"Swvu.CSTO._.FASE.","ACwvu.CSTO._.FASE.",#N/A,FALSE,FALSE,0,0,0,0,1,"","",TRUE,FALSE,FALSE,FALSE,1,100,#N/A,#N/A,"=R1C1:R43C8",FALSE,#N/A,#N/A,FALSE,FALSE,TRUE,9,300,300,FALSE,FALSE,TRUE,TRUE,TRUE}</definedName>
    <definedName name="wvu.CSTO._.FIXO." hidden="1">{TRUE,TRUE,-0.5,-14.75,483,275.25,FALSE,FALSE,TRUE,TRUE,0,1,#N/A,1,#N/A,6.29508196721311,16.55,1,FALSE,FALSE,3,TRUE,1,FALSE,100,"Swvu.CSTO._.FIXO.","ACwvu.CSTO._.FIXO.",#N/A,FALSE,FALSE,0.590551181102362,0,0,0,1,"","",TRUE,FALSE,FALSE,FALSE,1,100,#N/A,#N/A,"=R1C1:R52C9",FALSE,#N/A,#N/A,FALSE,FALSE,FALSE,9,300,300,FALSE,FALSE,TRUE,TRUE,TRUE}</definedName>
    <definedName name="wvu.D._.CMI." hidden="1">{TRUE,TRUE,-0.5,-14.75,483,275.25,FALSE,FALSE,TRUE,TRUE,0,1,#N/A,102,#N/A,7.47727272727273,17.9411764705882,1,FALSE,FALSE,3,TRUE,1,FALSE,100,"Swvu.D._.CMI.","ACwvu.D._.CMI.",#N/A,FALSE,FALSE,0,0,0,0,1,"","",TRUE,TRUE,FALSE,FALSE,1,100,#N/A,#N/A,"=R110C1:R163C11",FALSE,#N/A,#N/A,FALSE,FALSE,TRUE,9,300,300,FALSE,FALSE,TRUE,TRUE,TRUE}</definedName>
    <definedName name="wvu.D._.REAIS." hidden="1">{TRUE,TRUE,-0.5,-14.75,483,275.25,FALSE,FALSE,TRUE,TRUE,0,1,#N/A,47,#N/A,7.47727272727273,17.7058823529412,1,FALSE,FALSE,3,TRUE,1,FALSE,100,"Swvu.D._.REAIS.","ACwvu.D._.REAIS.",#N/A,FALSE,FALSE,0,0,0,0,1,"","",TRUE,TRUE,FALSE,FALSE,1,100,#N/A,#N/A,"=R55C1:R108C11",FALSE,#N/A,#N/A,FALSE,FALSE,TRUE,9,300,300,FALSE,FALSE,TRUE,TRUE,TRUE}</definedName>
    <definedName name="wvu.D._.US." hidden="1">{TRUE,TRUE,-0.5,-14.75,483,275.25,FALSE,FALSE,TRUE,TRUE,0,1,#N/A,204,#N/A,7.47727272727273,16.9411764705882,1,FALSE,FALSE,3,TRUE,1,FALSE,100,"Swvu.D._.US.","ACwvu.D._.US.",#N/A,FALSE,FALSE,0,0,0,0,1,"","",TRUE,TRUE,FALSE,FALSE,1,100,#N/A,#N/A,"=R211C1:R264C11",FALSE,#N/A,#N/A,FALSE,FALSE,TRUE,9,300,300,FALSE,FALSE,TRUE,TRUE,TRUE}</definedName>
    <definedName name="wvu.EQUIV.._.ANO." hidden="1">{TRUE,TRUE,-0.5,-14.75,483,275.25,FALSE,FALSE,TRUE,TRUE,0,1,#N/A,1,#N/A,5.16239316239316,14.72,1,FALSE,FALSE,3,TRUE,1,FALSE,100,"Swvu.EQUIV.._.ANO.","ACwvu.EQUIV.._.ANO.",#N/A,FALSE,FALSE,0.590551181102362,0,0,0,1,"","",TRUE,FALSE,FALSE,FALSE,1,100,#N/A,#N/A,"=R1C1:R36C7",FALSE,"Rwvu.EQUIV.._.ANO.",#N/A,FALSE,FALSE,TRUE,9,300,300,FALSE,FALSE,TRUE,TRUE,TRUE}</definedName>
    <definedName name="wvu.EQUIV.._.MES." hidden="1">{TRUE,TRUE,-0.5,-14.75,483,275.25,FALSE,FALSE,TRUE,TRUE,0,1,#N/A,1,#N/A,4.14851485148515,16.4705882352941,1,FALSE,FALSE,3,TRUE,1,FALSE,100,"Swvu.EQUIV.._.MES.","ACwvu.EQUIV.._.MES.",#N/A,FALSE,FALSE,0,0,0,0,1,"","",TRUE,TRUE,FALSE,FALSE,1,#N/A,1,1,"=R1C1:R63C8",FALSE,#N/A,#N/A,FALSE,FALSE,FALSE,9,300,300,FALSE,FALSE,TRUE,TRUE,TRUE}</definedName>
    <definedName name="wvu.GRAFICO." hidden="1">{TRUE,TRUE,-0.5,-14.75,483,275.25,FALSE,FALSE,TRUE,TRUE,0,6,#N/A,54,#N/A,6.69318181818182,17.8823529411765,1,FALSE,FALSE,3,TRUE,1,FALSE,100,"Swvu.GRAFICO.","ACwvu.GRAFICO.",#N/A,FALSE,FALSE,0.62,0,0,0,1,"","",TRUE,TRUE,FALSE,FALSE,1,103,#N/A,#N/A,"=R15C1:R62C9",FALSE,#N/A,#N/A,FALSE,FALSE,FALSE,#NULL!,#NULL!,#NULL!,FALSE,FALSE,TRUE,TRUE,TRUE}</definedName>
    <definedName name="wvu.INDICE." hidden="1">{TRUE,TRUE,-0.5,-14.75,483,275.25,FALSE,FALSE,TRUE,TRUE,0,1,#N/A,158,#N/A,7.47727272727273,16,1,FALSE,FALSE,3,TRUE,1,FALSE,100,"Swvu.INDICE.","ACwvu.INDICE.",#N/A,FALSE,FALSE,0,0,0,0,1,"","",TRUE,TRUE,FALSE,FALSE,1,100,#N/A,#N/A,"=R166C1:R208C11",FALSE,#N/A,#N/A,FALSE,FALSE,TRUE,9,300,300,FALSE,FALSE,TRUE,TRUE,TRUE}</definedName>
    <definedName name="wvu.RESUL._.T." hidden="1">{TRUE,TRUE,-0.5,-14.75,483,275.25,FALSE,FALSE,TRUE,TRUE,1,1,#N/A,1,#N/A,5.90322580645161,16,1,FALSE,FALSE,3,TRUE,1,FALSE,100,"Swvu.RESUL._.T.","ACwvu.RESUL._.T.",#N/A,FALSE,FALSE,0,0,0,0,1,"","",TRUE,FALSE,FALSE,FALSE,1,#N/A,1,1,"=R1C1:R49C11",FALSE,#N/A,#N/A,FALSE,FALSE,FALSE,9,300,300,FALSE,FALSE,TRUE,TRUE,TRUE}</definedName>
    <definedName name="wweer" hidden="1">{#N/A,#N/A,FALSE,"S-USGV";#N/A,#N/A,FALSE,"S-MDE";#N/A,#N/A,FALSE,"S-BELGO";#N/A,#N/A,FALSE,"CAPA"}</definedName>
    <definedName name="xa" hidden="1">{#N/A,#N/A,FALSE,"Tabl. G1";#N/A,#N/A,FALSE,"Tabl. G2"}</definedName>
    <definedName name="xd" hidden="1">{#N/A,#N/A,FALSE,"Tabl. G1";#N/A,#N/A,FALSE,"Tabl. G2"}</definedName>
    <definedName name="xRange">'Discount Curve'!$B$26:$B$53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_1">'Discount Curve'!$D$26</definedName>
    <definedName name="yRange">'Discount Curve'!$D$26:$D$53</definedName>
    <definedName name="Z_7F588B29_995C_4D7F_AEF5_21A0D2165673_.wvu.Cols" hidden="1">#REF!</definedName>
    <definedName name="ZeroRate1">'Discount Curve'!$E$26</definedName>
    <definedName name="zRange">'Discount Curve'!$E$26:$E$63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3" i="5" l="1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D19" i="4"/>
  <c r="B19" i="4"/>
  <c r="D18" i="4"/>
  <c r="B18" i="4"/>
  <c r="D17" i="4"/>
  <c r="B17" i="4"/>
  <c r="O16" i="4"/>
  <c r="L16" i="4"/>
  <c r="D16" i="4"/>
  <c r="B16" i="4"/>
  <c r="D15" i="4"/>
  <c r="L15" i="4" s="1"/>
  <c r="B15" i="4"/>
  <c r="D14" i="4"/>
  <c r="B14" i="4"/>
  <c r="T13" i="4"/>
  <c r="R13" i="4"/>
  <c r="D13" i="4"/>
  <c r="O13" i="4" s="1"/>
  <c r="B13" i="4"/>
  <c r="D12" i="4"/>
  <c r="B12" i="4"/>
  <c r="T11" i="4"/>
  <c r="R11" i="4"/>
  <c r="O11" i="4"/>
  <c r="L11" i="4"/>
  <c r="D11" i="4"/>
  <c r="B11" i="4"/>
  <c r="D10" i="4"/>
  <c r="S10" i="4" s="1"/>
  <c r="B10" i="4"/>
  <c r="D9" i="4"/>
  <c r="Q9" i="4" s="1"/>
  <c r="B9" i="4"/>
  <c r="N8" i="4"/>
  <c r="D8" i="4"/>
  <c r="P8" i="4" s="1"/>
  <c r="B8" i="4"/>
  <c r="M7" i="4"/>
  <c r="D7" i="4"/>
  <c r="B7" i="4"/>
  <c r="K6" i="4"/>
  <c r="D6" i="4"/>
  <c r="M6" i="4" s="1"/>
  <c r="B6" i="4"/>
  <c r="I5" i="4"/>
  <c r="D5" i="4"/>
  <c r="K5" i="4" s="1"/>
  <c r="B5" i="4"/>
  <c r="B4" i="4"/>
  <c r="J4" i="4" s="1"/>
  <c r="T3" i="4"/>
  <c r="S3" i="4"/>
  <c r="R3" i="4"/>
  <c r="Q3" i="4"/>
  <c r="P3" i="4"/>
  <c r="O3" i="4"/>
  <c r="L3" i="4"/>
  <c r="I3" i="4"/>
  <c r="B3" i="4"/>
  <c r="T2" i="4"/>
  <c r="U2" i="4" s="1"/>
  <c r="S2" i="4"/>
  <c r="Q2" i="4"/>
  <c r="P2" i="4"/>
  <c r="N2" i="4"/>
  <c r="N3" i="4" s="1"/>
  <c r="M2" i="4"/>
  <c r="M3" i="4" s="1"/>
  <c r="K2" i="4"/>
  <c r="K3" i="4" s="1"/>
  <c r="J2" i="4"/>
  <c r="J3" i="4" s="1"/>
  <c r="D23" i="3"/>
  <c r="D15" i="3"/>
  <c r="C13" i="2"/>
  <c r="E11" i="2"/>
  <c r="E10" i="2"/>
  <c r="E9" i="2"/>
  <c r="E8" i="2"/>
  <c r="E7" i="2"/>
  <c r="C3" i="2"/>
  <c r="E8" i="6"/>
  <c r="E7" i="6"/>
  <c r="E11" i="6"/>
  <c r="E6" i="6"/>
  <c r="E10" i="6"/>
  <c r="E5" i="6"/>
  <c r="E9" i="6"/>
  <c r="E4" i="6"/>
  <c r="E3" i="6"/>
  <c r="E12" i="6"/>
  <c r="C3" i="6" a="1"/>
  <c r="C10" i="6"/>
  <c r="D5" i="3"/>
  <c r="C11" i="6"/>
  <c r="G10" i="6"/>
  <c r="C8" i="6"/>
  <c r="C6" i="6"/>
  <c r="C9" i="6"/>
  <c r="F11" i="6"/>
  <c r="C12" i="6"/>
  <c r="I8" i="6"/>
  <c r="I11" i="6"/>
  <c r="G8" i="6"/>
  <c r="G11" i="6"/>
  <c r="F8" i="6"/>
  <c r="C5" i="6"/>
  <c r="F10" i="6"/>
  <c r="C4" i="6"/>
  <c r="C7" i="6"/>
  <c r="I10" i="6"/>
  <c r="F6" i="6"/>
  <c r="G6" i="6"/>
  <c r="I6" i="6"/>
  <c r="F9" i="6"/>
  <c r="G9" i="6"/>
  <c r="I9" i="6"/>
  <c r="F12" i="6"/>
  <c r="G12" i="6"/>
  <c r="I12" i="6"/>
  <c r="F5" i="6"/>
  <c r="G5" i="6"/>
  <c r="I5" i="6"/>
  <c r="I4" i="6"/>
  <c r="G4" i="6"/>
  <c r="F4" i="6"/>
  <c r="G7" i="6"/>
  <c r="I7" i="6"/>
  <c r="F7" i="6"/>
  <c r="C3" i="6" l="1"/>
  <c r="H7" i="6"/>
  <c r="H12" i="6"/>
  <c r="H4" i="6"/>
  <c r="H8" i="6"/>
  <c r="H10" i="6"/>
  <c r="H11" i="6"/>
  <c r="H5" i="6"/>
  <c r="H9" i="6"/>
  <c r="F5" i="5"/>
  <c r="D14" i="3" s="1"/>
  <c r="C4" i="2" s="1"/>
  <c r="U15" i="4"/>
  <c r="T15" i="4"/>
  <c r="R15" i="4"/>
  <c r="O15" i="4"/>
  <c r="R16" i="4"/>
  <c r="U16" i="4"/>
  <c r="T16" i="4"/>
  <c r="N7" i="4"/>
  <c r="U17" i="4"/>
  <c r="T17" i="4"/>
  <c r="R17" i="4"/>
  <c r="U3" i="4"/>
  <c r="V2" i="4"/>
  <c r="L17" i="4"/>
  <c r="U13" i="4"/>
  <c r="O17" i="4"/>
  <c r="H6" i="6"/>
  <c r="U18" i="4"/>
  <c r="T18" i="4"/>
  <c r="L18" i="4"/>
  <c r="R18" i="4"/>
  <c r="O18" i="4"/>
  <c r="T12" i="4"/>
  <c r="U19" i="4"/>
  <c r="L13" i="4"/>
  <c r="L12" i="4"/>
  <c r="O12" i="4"/>
  <c r="R12" i="4"/>
  <c r="L14" i="4"/>
  <c r="L19" i="4"/>
  <c r="O14" i="4"/>
  <c r="O19" i="4"/>
  <c r="U12" i="4"/>
  <c r="R14" i="4"/>
  <c r="R19" i="4"/>
  <c r="T14" i="4"/>
  <c r="T19" i="4"/>
  <c r="U14" i="4"/>
  <c r="I3" i="6"/>
  <c r="F3" i="6"/>
  <c r="G3" i="6"/>
  <c r="H3" i="6" l="1"/>
  <c r="L6" i="6" s="1"/>
  <c r="W2" i="4"/>
  <c r="V3" i="4"/>
  <c r="W13" i="4"/>
  <c r="V13" i="4"/>
  <c r="V15" i="4"/>
  <c r="V12" i="4"/>
  <c r="W15" i="4"/>
  <c r="V14" i="4"/>
  <c r="W16" i="4"/>
  <c r="W17" i="4"/>
  <c r="V19" i="4"/>
  <c r="V18" i="4"/>
  <c r="W19" i="4"/>
  <c r="W14" i="4"/>
  <c r="V17" i="4"/>
  <c r="V16" i="4"/>
  <c r="W18" i="4"/>
  <c r="X2" i="4" l="1"/>
  <c r="W3" i="4"/>
  <c r="X13" i="4"/>
  <c r="X19" i="4"/>
  <c r="X14" i="4"/>
  <c r="X16" i="4"/>
  <c r="X17" i="4"/>
  <c r="X18" i="4"/>
  <c r="X15" i="4"/>
  <c r="X3" i="4" l="1"/>
  <c r="Y2" i="4"/>
  <c r="Y14" i="4"/>
  <c r="Y19" i="4"/>
  <c r="Y18" i="4"/>
  <c r="Y16" i="4"/>
  <c r="Y17" i="4"/>
  <c r="Y15" i="4"/>
  <c r="Y3" i="4" l="1"/>
  <c r="Z2" i="4"/>
  <c r="Z14" i="4" s="1"/>
  <c r="Z16" i="4"/>
  <c r="Z18" i="4"/>
  <c r="Z15" i="4"/>
  <c r="Z17" i="4" l="1"/>
  <c r="Z19" i="4"/>
  <c r="AA2" i="4"/>
  <c r="AA19" i="4" s="1"/>
  <c r="Z3" i="4"/>
  <c r="AA18" i="4" l="1"/>
  <c r="AA16" i="4"/>
  <c r="AA15" i="4"/>
  <c r="AA17" i="4"/>
  <c r="AA3" i="4"/>
  <c r="AB2" i="4"/>
  <c r="AB19" i="4" s="1"/>
  <c r="AB17" i="4"/>
  <c r="AB16" i="4"/>
  <c r="AB15" i="4"/>
  <c r="AB18" i="4" l="1"/>
  <c r="AB3" i="4"/>
  <c r="AC2" i="4"/>
  <c r="AC18" i="4"/>
  <c r="AC17" i="4"/>
  <c r="AC16" i="4"/>
  <c r="AC3" i="4" l="1"/>
  <c r="AD2" i="4"/>
  <c r="AD16" i="4"/>
  <c r="AD18" i="4"/>
  <c r="AD17" i="4"/>
  <c r="AC19" i="4"/>
  <c r="AD3" i="4" l="1"/>
  <c r="AE2" i="4"/>
  <c r="AD19" i="4"/>
  <c r="AE3" i="4" l="1"/>
  <c r="AF2" i="4"/>
  <c r="AF18" i="4"/>
  <c r="AF19" i="4"/>
  <c r="AE19" i="4"/>
  <c r="AE18" i="4"/>
  <c r="AE17" i="4"/>
  <c r="AG2" i="4" l="1"/>
  <c r="AF3" i="4"/>
  <c r="AG18" i="4"/>
  <c r="AG19" i="4"/>
  <c r="AF17" i="4"/>
  <c r="AH2" i="4" l="1"/>
  <c r="AG3" i="4"/>
  <c r="AH18" i="4"/>
  <c r="AH19" i="4"/>
  <c r="AI2" i="4" l="1"/>
  <c r="AH3" i="4"/>
  <c r="AI19" i="4"/>
  <c r="AJ2" i="4" l="1"/>
  <c r="AJ3" i="4" s="1"/>
  <c r="AI3" i="4"/>
  <c r="AJ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BF425A3B-AEB5-4DEF-95AF-F27FFCE5F08D}">
      <text>
        <r>
          <rPr>
            <b/>
            <sz val="9"/>
            <color indexed="81"/>
            <rFont val="Tahoma"/>
            <family val="2"/>
          </rPr>
          <t>Yoshihiro Shirai:</t>
        </r>
        <r>
          <rPr>
            <sz val="9"/>
            <color indexed="81"/>
            <rFont val="Tahoma"/>
            <family val="2"/>
          </rPr>
          <t xml:space="preserve">
30/360 convention, i.e., we are estimating the 30/360 Discount Curve.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<sst xmlns="http://schemas.openxmlformats.org/spreadsheetml/2006/main" count="129" uniqueCount="95">
  <si>
    <t>Bloomberg Parameters</t>
  </si>
  <si>
    <t>Volatility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</si>
  <si>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</si>
  <si>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</si>
  <si>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</si>
  <si>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</si>
  <si>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</si>
  <si>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</si>
  <si>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</si>
  <si>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</si>
  <si>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</si>
  <si>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</si>
  <si>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</si>
  <si>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</si>
  <si>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</si>
  <si>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</si>
  <si>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</si>
  <si>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</si>
  <si>
    <t>Bond
Parameters</t>
  </si>
  <si>
    <t>Face Value</t>
  </si>
  <si>
    <t>Maturity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</si>
  <si>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</si>
  <si>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</si>
  <si>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</si>
  <si>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</si>
  <si>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</si>
  <si>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</si>
  <si>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</si>
  <si>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</si>
  <si>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</si>
  <si>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No</t>
  </si>
  <si>
    <t>Instructions:</t>
  </si>
  <si>
    <t>Penalty Periods 1.5-2</t>
  </si>
  <si>
    <t>1.Input Dates, Money Market and Swap Market data</t>
  </si>
  <si>
    <t>Penalty Periods 2.5-3</t>
  </si>
  <si>
    <t>2.Input Historical LIBOR rates and Caps prices</t>
  </si>
  <si>
    <t>Penalty Periods 3.5-4</t>
  </si>
  <si>
    <t>3.Construct Yield Curve</t>
  </si>
  <si>
    <t>Model
Parameters</t>
  </si>
  <si>
    <t>Mean Rev Speed</t>
  </si>
  <si>
    <t>3.Input Bloomberg Mean Reversion and Volatility</t>
  </si>
  <si>
    <t>5.Set Mean Rev Speed = "MeanReversionRegression"</t>
  </si>
  <si>
    <t>6.Set Volatility = "VolatilityCalibration"</t>
  </si>
  <si>
    <t>7.Calibrate Model</t>
  </si>
  <si>
    <t>Numerical 
Optimization 
Parameters</t>
  </si>
  <si>
    <t>Interpolation</t>
  </si>
  <si>
    <t>8.Calculate Call Premia</t>
  </si>
  <si>
    <t>Delta</t>
  </si>
  <si>
    <t>9.Input again Bloomberg Mean Reversion and Volatility</t>
  </si>
  <si>
    <t>Calibration</t>
  </si>
  <si>
    <t>10.Construct Yield Curve</t>
  </si>
  <si>
    <t>Regression</t>
  </si>
  <si>
    <t>11.Calculate "Bloomberg" call premia</t>
  </si>
  <si>
    <t>Finite Difference Method</t>
  </si>
  <si>
    <t>Dt</t>
  </si>
  <si>
    <t>NB: to rebuild the FixedIncomeLibrary.dll, the library shouldn’t be running, e.g., close any excel files that are using it</t>
  </si>
  <si>
    <t>Dr</t>
  </si>
  <si>
    <t>NB: Penalty structure assumes semiannual coupons</t>
  </si>
  <si>
    <t>rmin</t>
  </si>
  <si>
    <t>rmax</t>
  </si>
  <si>
    <t>Show All Value</t>
  </si>
  <si>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</si>
  <si>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</si>
  <si>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</si>
  <si>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</si>
  <si>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</si>
  <si>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</si>
  <si>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</si>
  <si>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</si>
  <si>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</si>
  <si>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</si>
  <si>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</si>
  <si>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</si>
  <si>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</si>
  <si>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</si>
  <si>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</si>
  <si>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</si>
  <si>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</si>
  <si>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Ticker</t>
  </si>
  <si>
    <t>US0003M Index</t>
  </si>
  <si>
    <t>Date</t>
  </si>
  <si>
    <t>PX_LAST</t>
  </si>
  <si>
    <t>Slope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</si>
  <si>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</si>
  <si>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</si>
  <si>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</si>
  <si>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</si>
  <si>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</si>
  <si>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</si>
  <si>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</si>
  <si>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</si>
  <si>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</si>
  <si>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Mean Square error</t>
  </si>
  <si>
    <t>Show HW Implied Vol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</si>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</sst>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Border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10" fillId="0" borderId="0" xfId="0" applyNumberFormat="1" applyFont="1" applyAlignment="1">
      <alignment wrapText="1"/>
    </xf>
    <xf numFmtId="14" fontId="11" fillId="0" borderId="0" xfId="0" applyNumberFormat="1" applyFont="1"/>
    <xf numFmtId="14" fontId="10" fillId="0" borderId="0" xfId="0" applyNumberFormat="1" applyFont="1"/>
    <xf numFmtId="2" fontId="3" fillId="0" borderId="0" xfId="0" applyNumberFormat="1" applyFont="1"/>
    <xf numFmtId="170" fontId="10" fillId="0" borderId="0" xfId="0" applyNumberFormat="1" applyFont="1" applyAlignment="1">
      <alignment horizontal="right"/>
    </xf>
    <xf numFmtId="168" fontId="10" fillId="0" borderId="0" xfId="2" applyNumberFormat="1" applyFont="1"/>
    <xf numFmtId="0" fontId="11" fillId="0" borderId="0" xfId="0" applyFont="1"/>
    <xf numFmtId="0" fontId="10" fillId="0" borderId="0" xfId="0" applyFont="1"/>
    <xf numFmtId="174" fontId="10" fillId="0" borderId="0" xfId="1" applyNumberFormat="1" applyFont="1"/>
    <xf numFmtId="174" fontId="3" fillId="0" borderId="0" xfId="1" applyNumberFormat="1" applyFont="1"/>
    <xf numFmtId="169" fontId="10" fillId="0" borderId="0" xfId="2" applyNumberFormat="1" applyFont="1"/>
    <xf numFmtId="170" fontId="11" fillId="0" borderId="0" xfId="0" applyNumberFormat="1" applyFont="1"/>
    <xf numFmtId="174" fontId="12" fillId="0" borderId="0" xfId="1" applyNumberFormat="1" applyFont="1"/>
    <xf numFmtId="43" fontId="10" fillId="0" borderId="0" xfId="1" applyFont="1"/>
    <xf numFmtId="169" fontId="10" fillId="0" borderId="0" xfId="0" applyNumberFormat="1" applyFont="1"/>
    <xf numFmtId="174" fontId="13" fillId="0" borderId="0" xfId="1" applyNumberFormat="1" applyFont="1"/>
    <xf numFmtId="174" fontId="14" fillId="0" borderId="0" xfId="1" applyNumberFormat="1" applyFont="1"/>
    <xf numFmtId="43" fontId="14" fillId="0" borderId="0" xfId="1" applyFont="1"/>
    <xf numFmtId="14" fontId="11" fillId="0" borderId="1" xfId="0" applyNumberFormat="1" applyFont="1" applyBorder="1" applyAlignment="1">
      <alignment vertical="center" wrapText="1"/>
    </xf>
    <xf numFmtId="2" fontId="10" fillId="0" borderId="19" xfId="2" applyNumberFormat="1" applyFont="1" applyBorder="1" applyAlignment="1">
      <alignment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1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1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1" fillId="0" borderId="0" xfId="0" applyNumberFormat="1" applyFont="1" applyAlignment="1">
      <alignment horizontal="right"/>
    </xf>
    <xf numFmtId="172" fontId="3" fillId="0" borderId="0" xfId="0" applyNumberFormat="1" applyFont="1"/>
    <xf numFmtId="170" fontId="10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7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2" fontId="5" fillId="2" borderId="0" xfId="0" applyNumberFormat="1" applyFont="1" applyFill="1" applyAlignment="1">
      <alignment horizontal="right" vertical="center"/>
    </xf>
    <xf numFmtId="164" fontId="5" fillId="2" borderId="0" xfId="2" applyNumberFormat="1" applyFont="1" applyFill="1" applyAlignment="1">
      <alignment horizontal="right" vertical="center"/>
    </xf>
    <xf numFmtId="0" fontId="5" fillId="0" borderId="15" xfId="0" applyFont="1" applyBorder="1" applyAlignment="1">
      <alignment horizontal="left" wrapText="1"/>
    </xf>
    <xf numFmtId="0" fontId="5" fillId="0" borderId="16" xfId="0" applyFont="1" applyBorder="1" applyAlignment="1">
      <alignment horizontal="left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77" fontId="7" fillId="3" borderId="1" xfId="0" applyNumberFormat="1" applyFont="1" applyFill="1" applyBorder="1" applyAlignment="1">
      <alignment horizontal="left"/>
    </xf>
    <xf numFmtId="177" fontId="7" fillId="3" borderId="2" xfId="0" applyNumberFormat="1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1.9193464251640553E-2</c:v>
                </c:pt>
                <c:pt idx="1">
                  <c:v>1.8596665653895408E-2</c:v>
                </c:pt>
                <c:pt idx="2">
                  <c:v>2.044531381434235E-2</c:v>
                </c:pt>
                <c:pt idx="3">
                  <c:v>2.1277711717768162E-2</c:v>
                </c:pt>
                <c:pt idx="4">
                  <c:v>2.1469782195759558E-2</c:v>
                </c:pt>
                <c:pt idx="5">
                  <c:v>2.2132814232340089E-2</c:v>
                </c:pt>
                <c:pt idx="6">
                  <c:v>2.2587489116918505E-2</c:v>
                </c:pt>
                <c:pt idx="7">
                  <c:v>2.2736348795093824E-2</c:v>
                </c:pt>
                <c:pt idx="8">
                  <c:v>2.3384552159077324E-2</c:v>
                </c:pt>
                <c:pt idx="9">
                  <c:v>2.3827137463243483E-2</c:v>
                </c:pt>
                <c:pt idx="10">
                  <c:v>2.3993065209200033E-2</c:v>
                </c:pt>
                <c:pt idx="11">
                  <c:v>2.468383216832664E-2</c:v>
                </c:pt>
                <c:pt idx="12">
                  <c:v>2.54586851778212E-2</c:v>
                </c:pt>
                <c:pt idx="13">
                  <c:v>2.5987249209287879E-2</c:v>
                </c:pt>
                <c:pt idx="14">
                  <c:v>2.6380372479038756E-2</c:v>
                </c:pt>
                <c:pt idx="15">
                  <c:v>2.6683560850303132E-2</c:v>
                </c:pt>
                <c:pt idx="16">
                  <c:v>2.6967986681432844E-2</c:v>
                </c:pt>
                <c:pt idx="17">
                  <c:v>2.7202143604611921E-2</c:v>
                </c:pt>
                <c:pt idx="18">
                  <c:v>2.7422906831663027E-2</c:v>
                </c:pt>
                <c:pt idx="19">
                  <c:v>2.7612139798684557E-2</c:v>
                </c:pt>
                <c:pt idx="20">
                  <c:v>2.7822333453997643E-2</c:v>
                </c:pt>
                <c:pt idx="21">
                  <c:v>2.8007138843001163E-2</c:v>
                </c:pt>
                <c:pt idx="22">
                  <c:v>2.8178156203438196E-2</c:v>
                </c:pt>
                <c:pt idx="23">
                  <c:v>2.8331426734216045E-2</c:v>
                </c:pt>
                <c:pt idx="24">
                  <c:v>2.8486635551149577E-2</c:v>
                </c:pt>
                <c:pt idx="25">
                  <c:v>2.8627563898167323E-2</c:v>
                </c:pt>
                <c:pt idx="26">
                  <c:v>2.8790533825417765E-2</c:v>
                </c:pt>
                <c:pt idx="27">
                  <c:v>2.8939910457109107E-2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E-4ACD-8D0D-2A64C1BC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'Historical Rates'!$D$2:$D$3</c:f>
              <c:strCache>
                <c:ptCount val="2"/>
                <c:pt idx="0">
                  <c:v>US0003M Index</c:v>
                </c:pt>
                <c:pt idx="1">
                  <c:v>Dr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'Historical Rates'!$B$4:$B$1767</c:f>
              <c:numCache>
                <c:formatCode>m/d/yyyy</c:formatCode>
                <c:ptCount val="1764"/>
                <c:pt idx="0">
                  <c:v>40547</c:v>
                </c:pt>
                <c:pt idx="1">
                  <c:v>40548</c:v>
                </c:pt>
                <c:pt idx="2">
                  <c:v>40549</c:v>
                </c:pt>
                <c:pt idx="3">
                  <c:v>40550</c:v>
                </c:pt>
                <c:pt idx="4">
                  <c:v>40553</c:v>
                </c:pt>
                <c:pt idx="5">
                  <c:v>40554</c:v>
                </c:pt>
                <c:pt idx="6">
                  <c:v>40555</c:v>
                </c:pt>
                <c:pt idx="7">
                  <c:v>40556</c:v>
                </c:pt>
                <c:pt idx="8">
                  <c:v>40557</c:v>
                </c:pt>
                <c:pt idx="9">
                  <c:v>40560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40585</c:v>
                </c:pt>
                <c:pt idx="29">
                  <c:v>40588</c:v>
                </c:pt>
                <c:pt idx="30">
                  <c:v>40589</c:v>
                </c:pt>
                <c:pt idx="31">
                  <c:v>40590</c:v>
                </c:pt>
                <c:pt idx="32">
                  <c:v>40591</c:v>
                </c:pt>
                <c:pt idx="33">
                  <c:v>40592</c:v>
                </c:pt>
                <c:pt idx="34">
                  <c:v>40595</c:v>
                </c:pt>
                <c:pt idx="35">
                  <c:v>40596</c:v>
                </c:pt>
                <c:pt idx="36">
                  <c:v>40597</c:v>
                </c:pt>
                <c:pt idx="37">
                  <c:v>40598</c:v>
                </c:pt>
                <c:pt idx="38">
                  <c:v>40599</c:v>
                </c:pt>
                <c:pt idx="39">
                  <c:v>40602</c:v>
                </c:pt>
                <c:pt idx="40">
                  <c:v>40603</c:v>
                </c:pt>
                <c:pt idx="41">
                  <c:v>40604</c:v>
                </c:pt>
                <c:pt idx="42">
                  <c:v>40605</c:v>
                </c:pt>
                <c:pt idx="43">
                  <c:v>40606</c:v>
                </c:pt>
                <c:pt idx="44">
                  <c:v>40609</c:v>
                </c:pt>
                <c:pt idx="45">
                  <c:v>40610</c:v>
                </c:pt>
                <c:pt idx="46">
                  <c:v>40611</c:v>
                </c:pt>
                <c:pt idx="47">
                  <c:v>40612</c:v>
                </c:pt>
                <c:pt idx="48">
                  <c:v>40613</c:v>
                </c:pt>
                <c:pt idx="49">
                  <c:v>40616</c:v>
                </c:pt>
                <c:pt idx="50">
                  <c:v>40617</c:v>
                </c:pt>
                <c:pt idx="51">
                  <c:v>40618</c:v>
                </c:pt>
                <c:pt idx="52">
                  <c:v>40619</c:v>
                </c:pt>
                <c:pt idx="53">
                  <c:v>40620</c:v>
                </c:pt>
                <c:pt idx="54">
                  <c:v>40623</c:v>
                </c:pt>
                <c:pt idx="55">
                  <c:v>40624</c:v>
                </c:pt>
                <c:pt idx="56">
                  <c:v>40625</c:v>
                </c:pt>
                <c:pt idx="57">
                  <c:v>40626</c:v>
                </c:pt>
                <c:pt idx="58">
                  <c:v>40627</c:v>
                </c:pt>
                <c:pt idx="59">
                  <c:v>40630</c:v>
                </c:pt>
                <c:pt idx="60">
                  <c:v>40631</c:v>
                </c:pt>
                <c:pt idx="61">
                  <c:v>40632</c:v>
                </c:pt>
                <c:pt idx="62">
                  <c:v>40633</c:v>
                </c:pt>
                <c:pt idx="63">
                  <c:v>40634</c:v>
                </c:pt>
                <c:pt idx="64">
                  <c:v>40637</c:v>
                </c:pt>
                <c:pt idx="65">
                  <c:v>40638</c:v>
                </c:pt>
                <c:pt idx="66">
                  <c:v>40639</c:v>
                </c:pt>
                <c:pt idx="67">
                  <c:v>40640</c:v>
                </c:pt>
                <c:pt idx="68">
                  <c:v>40641</c:v>
                </c:pt>
                <c:pt idx="69">
                  <c:v>40644</c:v>
                </c:pt>
                <c:pt idx="70">
                  <c:v>40645</c:v>
                </c:pt>
                <c:pt idx="71">
                  <c:v>40646</c:v>
                </c:pt>
                <c:pt idx="72">
                  <c:v>40647</c:v>
                </c:pt>
                <c:pt idx="73">
                  <c:v>40648</c:v>
                </c:pt>
                <c:pt idx="74">
                  <c:v>40651</c:v>
                </c:pt>
                <c:pt idx="75">
                  <c:v>40652</c:v>
                </c:pt>
                <c:pt idx="76">
                  <c:v>40653</c:v>
                </c:pt>
                <c:pt idx="77">
                  <c:v>40654</c:v>
                </c:pt>
                <c:pt idx="78">
                  <c:v>40659</c:v>
                </c:pt>
                <c:pt idx="79">
                  <c:v>40660</c:v>
                </c:pt>
                <c:pt idx="80">
                  <c:v>40661</c:v>
                </c:pt>
                <c:pt idx="81">
                  <c:v>40666</c:v>
                </c:pt>
                <c:pt idx="82">
                  <c:v>40667</c:v>
                </c:pt>
                <c:pt idx="83">
                  <c:v>40668</c:v>
                </c:pt>
                <c:pt idx="84">
                  <c:v>40669</c:v>
                </c:pt>
                <c:pt idx="85">
                  <c:v>40672</c:v>
                </c:pt>
                <c:pt idx="86">
                  <c:v>40673</c:v>
                </c:pt>
                <c:pt idx="87">
                  <c:v>40674</c:v>
                </c:pt>
                <c:pt idx="88">
                  <c:v>40675</c:v>
                </c:pt>
                <c:pt idx="89">
                  <c:v>40676</c:v>
                </c:pt>
                <c:pt idx="90">
                  <c:v>40679</c:v>
                </c:pt>
                <c:pt idx="91">
                  <c:v>40680</c:v>
                </c:pt>
                <c:pt idx="92">
                  <c:v>40681</c:v>
                </c:pt>
                <c:pt idx="93">
                  <c:v>40682</c:v>
                </c:pt>
                <c:pt idx="94">
                  <c:v>40683</c:v>
                </c:pt>
                <c:pt idx="95">
                  <c:v>40686</c:v>
                </c:pt>
                <c:pt idx="96">
                  <c:v>40687</c:v>
                </c:pt>
                <c:pt idx="97">
                  <c:v>40688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40728</c:v>
                </c:pt>
                <c:pt idx="125">
                  <c:v>40729</c:v>
                </c:pt>
                <c:pt idx="126">
                  <c:v>40730</c:v>
                </c:pt>
                <c:pt idx="127">
                  <c:v>40731</c:v>
                </c:pt>
                <c:pt idx="128">
                  <c:v>40732</c:v>
                </c:pt>
                <c:pt idx="129">
                  <c:v>40735</c:v>
                </c:pt>
                <c:pt idx="130">
                  <c:v>40736</c:v>
                </c:pt>
                <c:pt idx="131">
                  <c:v>40737</c:v>
                </c:pt>
                <c:pt idx="132">
                  <c:v>40738</c:v>
                </c:pt>
                <c:pt idx="133">
                  <c:v>40739</c:v>
                </c:pt>
                <c:pt idx="134">
                  <c:v>40742</c:v>
                </c:pt>
                <c:pt idx="135">
                  <c:v>40743</c:v>
                </c:pt>
                <c:pt idx="136">
                  <c:v>40744</c:v>
                </c:pt>
                <c:pt idx="137">
                  <c:v>40745</c:v>
                </c:pt>
                <c:pt idx="138">
                  <c:v>40746</c:v>
                </c:pt>
                <c:pt idx="139">
                  <c:v>40749</c:v>
                </c:pt>
                <c:pt idx="140">
                  <c:v>40750</c:v>
                </c:pt>
                <c:pt idx="141">
                  <c:v>40751</c:v>
                </c:pt>
                <c:pt idx="142">
                  <c:v>40752</c:v>
                </c:pt>
                <c:pt idx="143">
                  <c:v>40753</c:v>
                </c:pt>
                <c:pt idx="144">
                  <c:v>40756</c:v>
                </c:pt>
                <c:pt idx="145">
                  <c:v>40757</c:v>
                </c:pt>
                <c:pt idx="146">
                  <c:v>40758</c:v>
                </c:pt>
                <c:pt idx="147">
                  <c:v>40759</c:v>
                </c:pt>
                <c:pt idx="148">
                  <c:v>40760</c:v>
                </c:pt>
                <c:pt idx="149">
                  <c:v>40763</c:v>
                </c:pt>
                <c:pt idx="150">
                  <c:v>40764</c:v>
                </c:pt>
                <c:pt idx="151">
                  <c:v>40765</c:v>
                </c:pt>
                <c:pt idx="152">
                  <c:v>40766</c:v>
                </c:pt>
                <c:pt idx="153">
                  <c:v>40767</c:v>
                </c:pt>
                <c:pt idx="154">
                  <c:v>40770</c:v>
                </c:pt>
                <c:pt idx="155">
                  <c:v>40771</c:v>
                </c:pt>
                <c:pt idx="156">
                  <c:v>40772</c:v>
                </c:pt>
                <c:pt idx="157">
                  <c:v>40773</c:v>
                </c:pt>
                <c:pt idx="158">
                  <c:v>40774</c:v>
                </c:pt>
                <c:pt idx="159">
                  <c:v>40777</c:v>
                </c:pt>
                <c:pt idx="160">
                  <c:v>40778</c:v>
                </c:pt>
                <c:pt idx="161">
                  <c:v>40779</c:v>
                </c:pt>
                <c:pt idx="162">
                  <c:v>40780</c:v>
                </c:pt>
                <c:pt idx="163">
                  <c:v>40781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40791</c:v>
                </c:pt>
                <c:pt idx="169">
                  <c:v>40792</c:v>
                </c:pt>
                <c:pt idx="170">
                  <c:v>40793</c:v>
                </c:pt>
                <c:pt idx="171">
                  <c:v>40794</c:v>
                </c:pt>
                <c:pt idx="172">
                  <c:v>40795</c:v>
                </c:pt>
                <c:pt idx="173">
                  <c:v>40798</c:v>
                </c:pt>
                <c:pt idx="174">
                  <c:v>40799</c:v>
                </c:pt>
                <c:pt idx="175">
                  <c:v>40800</c:v>
                </c:pt>
                <c:pt idx="176">
                  <c:v>40801</c:v>
                </c:pt>
                <c:pt idx="177">
                  <c:v>40802</c:v>
                </c:pt>
                <c:pt idx="178">
                  <c:v>40805</c:v>
                </c:pt>
                <c:pt idx="179">
                  <c:v>40806</c:v>
                </c:pt>
                <c:pt idx="180">
                  <c:v>40807</c:v>
                </c:pt>
                <c:pt idx="181">
                  <c:v>40808</c:v>
                </c:pt>
                <c:pt idx="182">
                  <c:v>40809</c:v>
                </c:pt>
                <c:pt idx="183">
                  <c:v>40812</c:v>
                </c:pt>
                <c:pt idx="184">
                  <c:v>40813</c:v>
                </c:pt>
                <c:pt idx="185">
                  <c:v>40814</c:v>
                </c:pt>
                <c:pt idx="186">
                  <c:v>40815</c:v>
                </c:pt>
                <c:pt idx="187">
                  <c:v>40816</c:v>
                </c:pt>
                <c:pt idx="188">
                  <c:v>40819</c:v>
                </c:pt>
                <c:pt idx="189">
                  <c:v>40820</c:v>
                </c:pt>
                <c:pt idx="190">
                  <c:v>40821</c:v>
                </c:pt>
                <c:pt idx="191">
                  <c:v>40822</c:v>
                </c:pt>
                <c:pt idx="192">
                  <c:v>40823</c:v>
                </c:pt>
                <c:pt idx="193">
                  <c:v>40826</c:v>
                </c:pt>
                <c:pt idx="194">
                  <c:v>40827</c:v>
                </c:pt>
                <c:pt idx="195">
                  <c:v>40828</c:v>
                </c:pt>
                <c:pt idx="196">
                  <c:v>40829</c:v>
                </c:pt>
                <c:pt idx="197">
                  <c:v>40830</c:v>
                </c:pt>
                <c:pt idx="198">
                  <c:v>40833</c:v>
                </c:pt>
                <c:pt idx="199">
                  <c:v>40834</c:v>
                </c:pt>
                <c:pt idx="200">
                  <c:v>40835</c:v>
                </c:pt>
                <c:pt idx="201">
                  <c:v>40836</c:v>
                </c:pt>
                <c:pt idx="202">
                  <c:v>40837</c:v>
                </c:pt>
                <c:pt idx="203">
                  <c:v>40840</c:v>
                </c:pt>
                <c:pt idx="204">
                  <c:v>40841</c:v>
                </c:pt>
                <c:pt idx="205">
                  <c:v>40842</c:v>
                </c:pt>
                <c:pt idx="206">
                  <c:v>40843</c:v>
                </c:pt>
                <c:pt idx="207">
                  <c:v>40844</c:v>
                </c:pt>
                <c:pt idx="208">
                  <c:v>40847</c:v>
                </c:pt>
                <c:pt idx="209">
                  <c:v>40848</c:v>
                </c:pt>
                <c:pt idx="210">
                  <c:v>40849</c:v>
                </c:pt>
                <c:pt idx="211">
                  <c:v>40850</c:v>
                </c:pt>
                <c:pt idx="212">
                  <c:v>40851</c:v>
                </c:pt>
                <c:pt idx="213">
                  <c:v>40854</c:v>
                </c:pt>
                <c:pt idx="214">
                  <c:v>40855</c:v>
                </c:pt>
                <c:pt idx="215">
                  <c:v>40856</c:v>
                </c:pt>
                <c:pt idx="216">
                  <c:v>40857</c:v>
                </c:pt>
                <c:pt idx="217">
                  <c:v>40858</c:v>
                </c:pt>
                <c:pt idx="218">
                  <c:v>40861</c:v>
                </c:pt>
                <c:pt idx="219">
                  <c:v>40862</c:v>
                </c:pt>
                <c:pt idx="220">
                  <c:v>40863</c:v>
                </c:pt>
                <c:pt idx="221">
                  <c:v>40864</c:v>
                </c:pt>
                <c:pt idx="222">
                  <c:v>40865</c:v>
                </c:pt>
                <c:pt idx="223">
                  <c:v>40868</c:v>
                </c:pt>
                <c:pt idx="224">
                  <c:v>40869</c:v>
                </c:pt>
                <c:pt idx="225">
                  <c:v>40870</c:v>
                </c:pt>
                <c:pt idx="226">
                  <c:v>40871</c:v>
                </c:pt>
                <c:pt idx="227">
                  <c:v>40872</c:v>
                </c:pt>
                <c:pt idx="228">
                  <c:v>40875</c:v>
                </c:pt>
                <c:pt idx="229">
                  <c:v>40876</c:v>
                </c:pt>
                <c:pt idx="230">
                  <c:v>40877</c:v>
                </c:pt>
                <c:pt idx="231">
                  <c:v>40878</c:v>
                </c:pt>
                <c:pt idx="232">
                  <c:v>40879</c:v>
                </c:pt>
                <c:pt idx="233">
                  <c:v>40882</c:v>
                </c:pt>
                <c:pt idx="234">
                  <c:v>40883</c:v>
                </c:pt>
                <c:pt idx="235">
                  <c:v>40884</c:v>
                </c:pt>
                <c:pt idx="236">
                  <c:v>40885</c:v>
                </c:pt>
                <c:pt idx="237">
                  <c:v>40886</c:v>
                </c:pt>
                <c:pt idx="238">
                  <c:v>40889</c:v>
                </c:pt>
                <c:pt idx="239">
                  <c:v>40890</c:v>
                </c:pt>
                <c:pt idx="240">
                  <c:v>40891</c:v>
                </c:pt>
                <c:pt idx="241">
                  <c:v>40892</c:v>
                </c:pt>
                <c:pt idx="242">
                  <c:v>40893</c:v>
                </c:pt>
                <c:pt idx="243">
                  <c:v>40896</c:v>
                </c:pt>
                <c:pt idx="244">
                  <c:v>40897</c:v>
                </c:pt>
                <c:pt idx="245">
                  <c:v>40898</c:v>
                </c:pt>
                <c:pt idx="246">
                  <c:v>40899</c:v>
                </c:pt>
                <c:pt idx="247">
                  <c:v>40900</c:v>
                </c:pt>
                <c:pt idx="248">
                  <c:v>40905</c:v>
                </c:pt>
                <c:pt idx="249">
                  <c:v>40906</c:v>
                </c:pt>
              </c:numCache>
            </c:numRef>
          </c:xVal>
          <c:yVal>
            <c:numRef>
              <c:f>'Historical Rates'!$D$4:$D$1767</c:f>
              <c:numCache>
                <c:formatCode>0.00000%</c:formatCode>
                <c:ptCount val="1764"/>
                <c:pt idx="1">
                  <c:v>0</c:v>
                </c:pt>
                <c:pt idx="2">
                  <c:v>-3.1999999999998696E-4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-1.2499999999999734E-3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-6.1200000000000143E-3</c:v>
                </c:pt>
                <c:pt idx="21">
                  <c:v>0</c:v>
                </c:pt>
                <c:pt idx="22">
                  <c:v>0</c:v>
                </c:pt>
                <c:pt idx="23">
                  <c:v>-1.0000000000000009E-3</c:v>
                </c:pt>
                <c:pt idx="24">
                  <c:v>-5.0000000000000044E-4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-1.0000000000000009E-3</c:v>
                </c:pt>
                <c:pt idx="29">
                  <c:v>-1.0000000000000009E-3</c:v>
                </c:pt>
                <c:pt idx="30">
                  <c:v>5.0000000000000044E-4</c:v>
                </c:pt>
                <c:pt idx="31">
                  <c:v>0</c:v>
                </c:pt>
                <c:pt idx="32">
                  <c:v>0</c:v>
                </c:pt>
                <c:pt idx="33">
                  <c:v>1.0000000000000009E-3</c:v>
                </c:pt>
                <c:pt idx="34">
                  <c:v>0</c:v>
                </c:pt>
                <c:pt idx="35">
                  <c:v>0</c:v>
                </c:pt>
                <c:pt idx="36">
                  <c:v>1.0000000000000009E-3</c:v>
                </c:pt>
                <c:pt idx="37">
                  <c:v>1.0000000000000009E-3</c:v>
                </c:pt>
                <c:pt idx="38">
                  <c:v>0</c:v>
                </c:pt>
                <c:pt idx="39">
                  <c:v>1.0000000000000009E-3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5.0000000000000044E-4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1.0000000000000009E-3</c:v>
                </c:pt>
                <c:pt idx="57">
                  <c:v>-5.0000000000000044E-4</c:v>
                </c:pt>
                <c:pt idx="58">
                  <c:v>1.0000000000000009E-3</c:v>
                </c:pt>
                <c:pt idx="59">
                  <c:v>5.0000000000000044E-4</c:v>
                </c:pt>
                <c:pt idx="60">
                  <c:v>0</c:v>
                </c:pt>
                <c:pt idx="61">
                  <c:v>2.5000000000000022E-3</c:v>
                </c:pt>
                <c:pt idx="62">
                  <c:v>1.5000000000000013E-3</c:v>
                </c:pt>
                <c:pt idx="63">
                  <c:v>2.0000000000000018E-3</c:v>
                </c:pt>
                <c:pt idx="64">
                  <c:v>4.249999999999976E-3</c:v>
                </c:pt>
                <c:pt idx="65">
                  <c:v>3.0000000000000027E-3</c:v>
                </c:pt>
                <c:pt idx="66">
                  <c:v>1.1200000000000099E-3</c:v>
                </c:pt>
                <c:pt idx="67">
                  <c:v>3.1300000000000217E-3</c:v>
                </c:pt>
                <c:pt idx="68">
                  <c:v>4.249999999999976E-3</c:v>
                </c:pt>
                <c:pt idx="69">
                  <c:v>2.5000000000000022E-3</c:v>
                </c:pt>
                <c:pt idx="70">
                  <c:v>2.0000000000000018E-3</c:v>
                </c:pt>
                <c:pt idx="71">
                  <c:v>2.7499999999999747E-3</c:v>
                </c:pt>
                <c:pt idx="72">
                  <c:v>2.5000000000000022E-3</c:v>
                </c:pt>
                <c:pt idx="73">
                  <c:v>7.5000000000002842E-4</c:v>
                </c:pt>
                <c:pt idx="74">
                  <c:v>7.4999999999997291E-4</c:v>
                </c:pt>
                <c:pt idx="75">
                  <c:v>2.5000000000002798E-4</c:v>
                </c:pt>
                <c:pt idx="76">
                  <c:v>0</c:v>
                </c:pt>
                <c:pt idx="77">
                  <c:v>0</c:v>
                </c:pt>
                <c:pt idx="78">
                  <c:v>1.0000000000000009E-3</c:v>
                </c:pt>
                <c:pt idx="79">
                  <c:v>-5.0000000000000044E-4</c:v>
                </c:pt>
                <c:pt idx="80">
                  <c:v>2.4999999999997247E-4</c:v>
                </c:pt>
                <c:pt idx="81">
                  <c:v>7.5000000000002842E-4</c:v>
                </c:pt>
                <c:pt idx="82">
                  <c:v>2.0000000000000018E-3</c:v>
                </c:pt>
                <c:pt idx="83">
                  <c:v>2.0000000000000018E-3</c:v>
                </c:pt>
                <c:pt idx="84">
                  <c:v>1.2499999999999734E-3</c:v>
                </c:pt>
                <c:pt idx="85">
                  <c:v>1.2500000000000289E-3</c:v>
                </c:pt>
                <c:pt idx="86">
                  <c:v>1.7499999999999738E-3</c:v>
                </c:pt>
                <c:pt idx="87">
                  <c:v>1.7500000000000293E-3</c:v>
                </c:pt>
                <c:pt idx="88">
                  <c:v>1.5000000000000013E-3</c:v>
                </c:pt>
                <c:pt idx="89">
                  <c:v>2.4999999999997247E-4</c:v>
                </c:pt>
                <c:pt idx="90">
                  <c:v>0</c:v>
                </c:pt>
                <c:pt idx="91">
                  <c:v>7.5000000000002842E-4</c:v>
                </c:pt>
                <c:pt idx="92">
                  <c:v>-2.5000000000002798E-4</c:v>
                </c:pt>
                <c:pt idx="93">
                  <c:v>1.5000000000000013E-3</c:v>
                </c:pt>
                <c:pt idx="94">
                  <c:v>1.0000000000000009E-3</c:v>
                </c:pt>
                <c:pt idx="95">
                  <c:v>7.5000000000002842E-4</c:v>
                </c:pt>
                <c:pt idx="96">
                  <c:v>1.7499999999999738E-3</c:v>
                </c:pt>
                <c:pt idx="97">
                  <c:v>5.0000000000000044E-4</c:v>
                </c:pt>
                <c:pt idx="98">
                  <c:v>5.0000000000000044E-4</c:v>
                </c:pt>
                <c:pt idx="99">
                  <c:v>1.2000000000000899E-4</c:v>
                </c:pt>
                <c:pt idx="100">
                  <c:v>1.0000000000000009E-3</c:v>
                </c:pt>
                <c:pt idx="101">
                  <c:v>0</c:v>
                </c:pt>
                <c:pt idx="102">
                  <c:v>8.799999999999919E-4</c:v>
                </c:pt>
                <c:pt idx="103">
                  <c:v>0</c:v>
                </c:pt>
                <c:pt idx="104">
                  <c:v>2.5000000000002798E-4</c:v>
                </c:pt>
                <c:pt idx="105">
                  <c:v>0</c:v>
                </c:pt>
                <c:pt idx="106">
                  <c:v>1.5000000000000013E-3</c:v>
                </c:pt>
                <c:pt idx="107">
                  <c:v>7.4999999999997291E-4</c:v>
                </c:pt>
                <c:pt idx="108">
                  <c:v>1.0000000000000009E-3</c:v>
                </c:pt>
                <c:pt idx="109">
                  <c:v>1.5000000000000013E-3</c:v>
                </c:pt>
                <c:pt idx="110">
                  <c:v>1.7500000000000016E-3</c:v>
                </c:pt>
                <c:pt idx="111">
                  <c:v>2.5000000000000022E-4</c:v>
                </c:pt>
                <c:pt idx="112">
                  <c:v>-1.5000000000000013E-3</c:v>
                </c:pt>
                <c:pt idx="113">
                  <c:v>0</c:v>
                </c:pt>
                <c:pt idx="114">
                  <c:v>0</c:v>
                </c:pt>
                <c:pt idx="115">
                  <c:v>1.0000000000000009E-3</c:v>
                </c:pt>
                <c:pt idx="116">
                  <c:v>0</c:v>
                </c:pt>
                <c:pt idx="117">
                  <c:v>-1.0000000000000009E-3</c:v>
                </c:pt>
                <c:pt idx="118">
                  <c:v>2.5000000000000022E-4</c:v>
                </c:pt>
                <c:pt idx="119">
                  <c:v>5.0000000000000044E-4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-2.9999999999999472E-4</c:v>
                </c:pt>
                <c:pt idx="128">
                  <c:v>0</c:v>
                </c:pt>
                <c:pt idx="129">
                  <c:v>0</c:v>
                </c:pt>
                <c:pt idx="130">
                  <c:v>-2.9500000000000082E-3</c:v>
                </c:pt>
                <c:pt idx="131">
                  <c:v>-2.5000000000000022E-4</c:v>
                </c:pt>
                <c:pt idx="132">
                  <c:v>-5.0000000000000044E-4</c:v>
                </c:pt>
                <c:pt idx="133">
                  <c:v>0</c:v>
                </c:pt>
                <c:pt idx="134">
                  <c:v>-1.4999999999999736E-3</c:v>
                </c:pt>
                <c:pt idx="135">
                  <c:v>-7.5000000000002842E-4</c:v>
                </c:pt>
                <c:pt idx="136">
                  <c:v>-1.0000000000000009E-3</c:v>
                </c:pt>
                <c:pt idx="137">
                  <c:v>0</c:v>
                </c:pt>
                <c:pt idx="138">
                  <c:v>0</c:v>
                </c:pt>
                <c:pt idx="139">
                  <c:v>9.000000000000119E-4</c:v>
                </c:pt>
                <c:pt idx="140">
                  <c:v>-5.0000000000000044E-4</c:v>
                </c:pt>
                <c:pt idx="141">
                  <c:v>-2.5000000000002798E-4</c:v>
                </c:pt>
                <c:pt idx="142">
                  <c:v>-1.0999999999999899E-3</c:v>
                </c:pt>
                <c:pt idx="143">
                  <c:v>-1.5499999999999958E-3</c:v>
                </c:pt>
                <c:pt idx="144">
                  <c:v>-1.7199999999999993E-3</c:v>
                </c:pt>
                <c:pt idx="145">
                  <c:v>-7.2200000000000042E-3</c:v>
                </c:pt>
                <c:pt idx="146">
                  <c:v>-3.8400000000000101E-3</c:v>
                </c:pt>
                <c:pt idx="147">
                  <c:v>-1.1099999999999999E-3</c:v>
                </c:pt>
                <c:pt idx="148">
                  <c:v>-2.2199999999999998E-3</c:v>
                </c:pt>
                <c:pt idx="149">
                  <c:v>-3.1700000000000061E-3</c:v>
                </c:pt>
                <c:pt idx="150">
                  <c:v>-3.6100000000000021E-3</c:v>
                </c:pt>
                <c:pt idx="151">
                  <c:v>-2.2199999999999998E-3</c:v>
                </c:pt>
                <c:pt idx="152">
                  <c:v>-5.5599999999999539E-3</c:v>
                </c:pt>
                <c:pt idx="153">
                  <c:v>-3.8900000000000046E-3</c:v>
                </c:pt>
                <c:pt idx="154">
                  <c:v>-1.6599999999999948E-3</c:v>
                </c:pt>
                <c:pt idx="155">
                  <c:v>-1.1099999999999999E-3</c:v>
                </c:pt>
                <c:pt idx="156">
                  <c:v>-3.0600000000000072E-3</c:v>
                </c:pt>
                <c:pt idx="157">
                  <c:v>-1.8900000000000028E-3</c:v>
                </c:pt>
                <c:pt idx="158">
                  <c:v>-5.2200000000000024E-3</c:v>
                </c:pt>
                <c:pt idx="159">
                  <c:v>-5.4400000000000004E-3</c:v>
                </c:pt>
                <c:pt idx="160">
                  <c:v>-3.3400000000000096E-3</c:v>
                </c:pt>
                <c:pt idx="161">
                  <c:v>-2.5000000000000022E-3</c:v>
                </c:pt>
                <c:pt idx="162">
                  <c:v>-4.720000000000002E-3</c:v>
                </c:pt>
                <c:pt idx="163">
                  <c:v>-3.7800000000000056E-3</c:v>
                </c:pt>
                <c:pt idx="164">
                  <c:v>-2.7800000000000047E-3</c:v>
                </c:pt>
                <c:pt idx="165">
                  <c:v>-1.6599999999999948E-3</c:v>
                </c:pt>
                <c:pt idx="166">
                  <c:v>-2.2199999999999998E-3</c:v>
                </c:pt>
                <c:pt idx="167">
                  <c:v>-1.1200000000000099E-3</c:v>
                </c:pt>
                <c:pt idx="168">
                  <c:v>-2.2199999999999998E-3</c:v>
                </c:pt>
                <c:pt idx="169">
                  <c:v>-2.8299999999999992E-3</c:v>
                </c:pt>
                <c:pt idx="170">
                  <c:v>-1.2199999999999989E-3</c:v>
                </c:pt>
                <c:pt idx="171">
                  <c:v>0</c:v>
                </c:pt>
                <c:pt idx="172">
                  <c:v>-1.1099999999999999E-3</c:v>
                </c:pt>
                <c:pt idx="173">
                  <c:v>-4.9499999999999544E-3</c:v>
                </c:pt>
                <c:pt idx="174">
                  <c:v>-4.2200000000000015E-3</c:v>
                </c:pt>
                <c:pt idx="175">
                  <c:v>-2.0000000000000018E-3</c:v>
                </c:pt>
                <c:pt idx="176">
                  <c:v>-1.1099999999999999E-3</c:v>
                </c:pt>
                <c:pt idx="177">
                  <c:v>-1.1099999999999999E-3</c:v>
                </c:pt>
                <c:pt idx="178">
                  <c:v>-1.1700000000000044E-3</c:v>
                </c:pt>
                <c:pt idx="179">
                  <c:v>-2.5000000000000022E-3</c:v>
                </c:pt>
                <c:pt idx="180">
                  <c:v>-5.6000000000000494E-4</c:v>
                </c:pt>
                <c:pt idx="181">
                  <c:v>-2.5000000000000022E-3</c:v>
                </c:pt>
                <c:pt idx="182">
                  <c:v>-2.1599999999999953E-3</c:v>
                </c:pt>
                <c:pt idx="183">
                  <c:v>-2.5600000000000067E-3</c:v>
                </c:pt>
                <c:pt idx="184">
                  <c:v>-2.4399999999999977E-3</c:v>
                </c:pt>
                <c:pt idx="185">
                  <c:v>-3.3400000000000096E-3</c:v>
                </c:pt>
                <c:pt idx="186">
                  <c:v>-3.5499999999999976E-3</c:v>
                </c:pt>
                <c:pt idx="187">
                  <c:v>-2.2199999999999998E-3</c:v>
                </c:pt>
                <c:pt idx="188">
                  <c:v>-3.2800000000000051E-3</c:v>
                </c:pt>
                <c:pt idx="189">
                  <c:v>-3.3299999999999996E-3</c:v>
                </c:pt>
                <c:pt idx="190">
                  <c:v>-2.6700000000000057E-3</c:v>
                </c:pt>
                <c:pt idx="191">
                  <c:v>-4.170000000000007E-3</c:v>
                </c:pt>
                <c:pt idx="192">
                  <c:v>-3.3299999999999996E-3</c:v>
                </c:pt>
                <c:pt idx="193">
                  <c:v>-3.0600000000000072E-3</c:v>
                </c:pt>
                <c:pt idx="194">
                  <c:v>-3.3299999999999996E-3</c:v>
                </c:pt>
                <c:pt idx="195">
                  <c:v>-3.3299999999999996E-3</c:v>
                </c:pt>
                <c:pt idx="196">
                  <c:v>-2.2299999999999542E-3</c:v>
                </c:pt>
                <c:pt idx="197">
                  <c:v>-1.6600000000000503E-3</c:v>
                </c:pt>
                <c:pt idx="198">
                  <c:v>-1.1099999999999999E-3</c:v>
                </c:pt>
                <c:pt idx="199">
                  <c:v>-3.3399999999999541E-3</c:v>
                </c:pt>
                <c:pt idx="200">
                  <c:v>-2.5000000000000022E-3</c:v>
                </c:pt>
                <c:pt idx="201">
                  <c:v>-3.8900000000000046E-3</c:v>
                </c:pt>
                <c:pt idx="202">
                  <c:v>-2.7699999999999947E-3</c:v>
                </c:pt>
                <c:pt idx="203">
                  <c:v>-1.9500000000000073E-3</c:v>
                </c:pt>
                <c:pt idx="204">
                  <c:v>-1.9399999999999973E-3</c:v>
                </c:pt>
                <c:pt idx="205">
                  <c:v>-2.5000000000000022E-3</c:v>
                </c:pt>
                <c:pt idx="206">
                  <c:v>-3.3400000000000096E-3</c:v>
                </c:pt>
                <c:pt idx="207">
                  <c:v>-1.3799999999999923E-3</c:v>
                </c:pt>
                <c:pt idx="208">
                  <c:v>0</c:v>
                </c:pt>
                <c:pt idx="209">
                  <c:v>-2.2300000000000098E-3</c:v>
                </c:pt>
                <c:pt idx="210">
                  <c:v>-1.3900000000000023E-3</c:v>
                </c:pt>
                <c:pt idx="211">
                  <c:v>-1.9399999999999973E-3</c:v>
                </c:pt>
                <c:pt idx="212">
                  <c:v>-2.5000000000000022E-3</c:v>
                </c:pt>
                <c:pt idx="213">
                  <c:v>-3.8900000000000046E-3</c:v>
                </c:pt>
                <c:pt idx="214">
                  <c:v>-2.7800000000000047E-3</c:v>
                </c:pt>
                <c:pt idx="215">
                  <c:v>-5.0000000000000044E-3</c:v>
                </c:pt>
                <c:pt idx="216">
                  <c:v>-3.6100000000000021E-3</c:v>
                </c:pt>
                <c:pt idx="217">
                  <c:v>-4.4399999999999995E-3</c:v>
                </c:pt>
                <c:pt idx="218">
                  <c:v>-3.3400000000000096E-3</c:v>
                </c:pt>
                <c:pt idx="219">
                  <c:v>-4.9999999999999489E-3</c:v>
                </c:pt>
                <c:pt idx="220">
                  <c:v>-5.5499999999999994E-3</c:v>
                </c:pt>
                <c:pt idx="221">
                  <c:v>-8.3300000000000041E-3</c:v>
                </c:pt>
                <c:pt idx="222">
                  <c:v>-8.3400000000000141E-3</c:v>
                </c:pt>
                <c:pt idx="223">
                  <c:v>-7.2200000000000042E-3</c:v>
                </c:pt>
                <c:pt idx="224">
                  <c:v>-5.2799999999999514E-3</c:v>
                </c:pt>
                <c:pt idx="225">
                  <c:v>-5.8300000000000018E-3</c:v>
                </c:pt>
                <c:pt idx="226">
                  <c:v>-5.5600000000000094E-3</c:v>
                </c:pt>
                <c:pt idx="227">
                  <c:v>-6.3900000000000068E-3</c:v>
                </c:pt>
                <c:pt idx="228">
                  <c:v>-5.0000000000000044E-3</c:v>
                </c:pt>
                <c:pt idx="229">
                  <c:v>-3.8799999999999946E-3</c:v>
                </c:pt>
                <c:pt idx="230">
                  <c:v>-1.9500000000000073E-3</c:v>
                </c:pt>
                <c:pt idx="231">
                  <c:v>1.6699999999999493E-3</c:v>
                </c:pt>
                <c:pt idx="232">
                  <c:v>-1.1099999999999444E-3</c:v>
                </c:pt>
                <c:pt idx="233">
                  <c:v>-5.5700000000000749E-3</c:v>
                </c:pt>
                <c:pt idx="234">
                  <c:v>-3.8499999999999091E-3</c:v>
                </c:pt>
                <c:pt idx="235">
                  <c:v>-2.2500000000000853E-3</c:v>
                </c:pt>
                <c:pt idx="236">
                  <c:v>0</c:v>
                </c:pt>
                <c:pt idx="237">
                  <c:v>-1.7499999999999183E-3</c:v>
                </c:pt>
                <c:pt idx="238">
                  <c:v>-1.7500000000000293E-3</c:v>
                </c:pt>
                <c:pt idx="239">
                  <c:v>-2.7500000000000302E-3</c:v>
                </c:pt>
                <c:pt idx="240">
                  <c:v>-8.80000000000003E-3</c:v>
                </c:pt>
                <c:pt idx="241">
                  <c:v>-4.0999999999999925E-3</c:v>
                </c:pt>
                <c:pt idx="242">
                  <c:v>-4.0000000000000036E-3</c:v>
                </c:pt>
                <c:pt idx="243">
                  <c:v>-3.7999999999999146E-3</c:v>
                </c:pt>
                <c:pt idx="244">
                  <c:v>-2.8000000000000247E-3</c:v>
                </c:pt>
                <c:pt idx="245">
                  <c:v>-1.5000000000000568E-3</c:v>
                </c:pt>
                <c:pt idx="246">
                  <c:v>-2.4999999999999467E-3</c:v>
                </c:pt>
                <c:pt idx="247">
                  <c:v>-2.0000000000000018E-3</c:v>
                </c:pt>
                <c:pt idx="248">
                  <c:v>-3.5000000000000586E-3</c:v>
                </c:pt>
                <c:pt idx="249">
                  <c:v>-1.7499999999999183E-3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3-41A5-AF92-9D3B617D3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00376"/>
        <c:axId val="358600768"/>
      </c:scatterChart>
      <c:valAx>
        <c:axId val="35860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00768"/>
        <c:crosses val="autoZero"/>
        <c:crossBetween val="midCat"/>
      </c:valAx>
      <c:valAx>
        <c:axId val="3586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0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9</xdr:row>
      <xdr:rowOff>133350</xdr:rowOff>
    </xdr:from>
    <xdr:to>
      <xdr:col>5</xdr:col>
      <xdr:colOff>0</xdr:colOff>
      <xdr:row>23</xdr:row>
      <xdr:rowOff>38100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3418E0C-DEE0-4C7D-B29E-F1BCB6D65727}"/>
            </a:ext>
          </a:extLst>
        </xdr:cNvPr>
        <xdr:cNvCxnSpPr/>
      </xdr:nvCxnSpPr>
      <xdr:spPr>
        <a:xfrm>
          <a:off x="3800475" y="1790700"/>
          <a:ext cx="819150" cy="2466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11206</xdr:colOff>
      <xdr:row>25</xdr:row>
      <xdr:rowOff>11206</xdr:rowOff>
    </xdr:from>
    <xdr:to>
      <xdr:col>14</xdr:col>
      <xdr:colOff>77881</xdr:colOff>
      <xdr:row>53</xdr:row>
      <xdr:rowOff>94964</xdr:rowOff>
    </xdr:to>
    <xdr:pic>
      <xdr:nvPicPr>
        <xdr:cNvPr id="3" name="Picture 2" descr="C:\Users\shirayo\AppData\Local\Microsoft\Windows\Temporary Internet Files\Content.Outlook\EJ9H8WSC\sg2018021949621.gif">
          <a:extLst>
            <a:ext uri="{FF2B5EF4-FFF2-40B4-BE49-F238E27FC236}">
              <a16:creationId xmlns:a16="http://schemas.microsoft.com/office/drawing/2014/main" id="{B676E209-0160-45C7-A999-946B2CF6B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0831" y="4592731"/>
          <a:ext cx="7524750" cy="480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19</xdr:row>
          <xdr:rowOff>85725</xdr:rowOff>
        </xdr:from>
        <xdr:to>
          <xdr:col>5</xdr:col>
          <xdr:colOff>571500</xdr:colOff>
          <xdr:row>22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Discount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CF5B1F-CF9F-4C88-B6EA-3157E07B3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583406</xdr:colOff>
      <xdr:row>11</xdr:row>
      <xdr:rowOff>107156</xdr:rowOff>
    </xdr:from>
    <xdr:to>
      <xdr:col>20</xdr:col>
      <xdr:colOff>261937</xdr:colOff>
      <xdr:row>32</xdr:row>
      <xdr:rowOff>97631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7513A6-2FF1-4D67-B65B-B305413BA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_95\TEMP\PRMPRD9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_95\TEMP\PRMPRD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00%20FINAL%20Plan%20standard%20co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\Year%202003%20Monthly%20Commen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ancial\FinShare\WIN_95\TEMP\PRMPRD9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rusrvfp01\Steel$\GROUP\STALLOY\SS\quart\Consumption\AWIPStainl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~1\FR064604\LOCALS~1\Temp\notesFFF692\Mandates%20follow-up%20v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RQUIVOS\2000-rev\2000-DSTA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and Actual"/>
      <sheetName val="Steel Comp."/>
      <sheetName val="INSTRUCTIONS"/>
      <sheetName val="BUS PLAN INPUT"/>
      <sheetName val="DATABASE"/>
      <sheetName val="CPC BUSINESS PLAN"/>
      <sheetName val="ACCT RESPONSIBILITY"/>
    </sheetNames>
    <sheetDataSet>
      <sheetData sheetId="0" refreshError="1"/>
      <sheetData sheetId="1" refreshError="1">
        <row r="1">
          <cell r="U1">
            <v>36516.593935879631</v>
          </cell>
        </row>
        <row r="8">
          <cell r="W8" t="str">
            <v>Jan</v>
          </cell>
          <cell r="X8">
            <v>445400</v>
          </cell>
          <cell r="Y8">
            <v>440644</v>
          </cell>
          <cell r="Z8">
            <v>-4756</v>
          </cell>
        </row>
        <row r="9">
          <cell r="W9" t="str">
            <v>Feb</v>
          </cell>
          <cell r="X9">
            <v>398200</v>
          </cell>
          <cell r="Y9">
            <v>425021</v>
          </cell>
          <cell r="Z9">
            <v>22065</v>
          </cell>
        </row>
        <row r="10">
          <cell r="W10" t="str">
            <v>Mar</v>
          </cell>
          <cell r="X10">
            <v>423600</v>
          </cell>
          <cell r="Y10">
            <v>440205</v>
          </cell>
          <cell r="Z10">
            <v>38670</v>
          </cell>
        </row>
        <row r="11">
          <cell r="W11" t="str">
            <v>Apr</v>
          </cell>
          <cell r="X11">
            <v>427700</v>
          </cell>
          <cell r="Y11">
            <v>441297</v>
          </cell>
          <cell r="Z11">
            <v>52267</v>
          </cell>
        </row>
        <row r="12">
          <cell r="W12" t="str">
            <v>May</v>
          </cell>
          <cell r="X12">
            <v>440100</v>
          </cell>
          <cell r="Y12">
            <v>461839</v>
          </cell>
          <cell r="Z12">
            <v>74006</v>
          </cell>
        </row>
        <row r="13">
          <cell r="W13" t="str">
            <v>Jun</v>
          </cell>
          <cell r="X13">
            <v>413200</v>
          </cell>
          <cell r="Y13">
            <v>458716</v>
          </cell>
          <cell r="Z13">
            <v>119522</v>
          </cell>
        </row>
        <row r="14">
          <cell r="W14" t="str">
            <v>Jul</v>
          </cell>
          <cell r="X14">
            <v>442500</v>
          </cell>
          <cell r="Y14">
            <v>441325</v>
          </cell>
          <cell r="Z14">
            <v>118347</v>
          </cell>
        </row>
        <row r="15">
          <cell r="W15" t="str">
            <v>Aug</v>
          </cell>
          <cell r="X15">
            <v>441600</v>
          </cell>
          <cell r="Y15">
            <v>463389</v>
          </cell>
          <cell r="Z15">
            <v>140136</v>
          </cell>
        </row>
        <row r="16">
          <cell r="W16" t="str">
            <v>Sep</v>
          </cell>
          <cell r="X16">
            <v>417200</v>
          </cell>
          <cell r="Y16">
            <v>298750</v>
          </cell>
          <cell r="Z16">
            <v>21686</v>
          </cell>
        </row>
        <row r="17">
          <cell r="W17" t="str">
            <v>Oct</v>
          </cell>
          <cell r="X17">
            <v>431500</v>
          </cell>
          <cell r="Y17">
            <v>454596</v>
          </cell>
          <cell r="Z17">
            <v>44782</v>
          </cell>
        </row>
        <row r="18">
          <cell r="W18" t="str">
            <v>Nov</v>
          </cell>
          <cell r="X18">
            <v>351000</v>
          </cell>
          <cell r="Y18">
            <v>457559</v>
          </cell>
          <cell r="Z18">
            <v>151341</v>
          </cell>
        </row>
        <row r="19">
          <cell r="W19" t="str">
            <v>Dec</v>
          </cell>
          <cell r="X19">
            <v>436400</v>
          </cell>
          <cell r="Y19" t="str">
            <v xml:space="preserve"> </v>
          </cell>
          <cell r="Z19" t="str">
            <v xml:space="preserve"> </v>
          </cell>
        </row>
        <row r="21">
          <cell r="W21" t="str">
            <v>Y-T-D</v>
          </cell>
        </row>
        <row r="220">
          <cell r="X220">
            <v>435700</v>
          </cell>
          <cell r="Z220">
            <v>4944</v>
          </cell>
        </row>
        <row r="221">
          <cell r="X221">
            <v>404900</v>
          </cell>
          <cell r="Z221">
            <v>25065</v>
          </cell>
        </row>
        <row r="222">
          <cell r="X222">
            <v>452300</v>
          </cell>
          <cell r="Z222">
            <v>12970</v>
          </cell>
        </row>
        <row r="223">
          <cell r="X223">
            <v>417900</v>
          </cell>
          <cell r="Z223">
            <v>36367</v>
          </cell>
        </row>
        <row r="224">
          <cell r="X224">
            <v>450300</v>
          </cell>
          <cell r="Z224">
            <v>47906</v>
          </cell>
        </row>
        <row r="225">
          <cell r="X225">
            <v>456300</v>
          </cell>
          <cell r="Z225">
            <v>50322</v>
          </cell>
        </row>
        <row r="226">
          <cell r="X226">
            <v>469500</v>
          </cell>
          <cell r="Z226">
            <v>22147</v>
          </cell>
        </row>
        <row r="227">
          <cell r="X227">
            <v>477300</v>
          </cell>
          <cell r="Z227">
            <v>8236</v>
          </cell>
        </row>
        <row r="228">
          <cell r="X228">
            <v>384600</v>
          </cell>
          <cell r="Z228">
            <v>-77614</v>
          </cell>
        </row>
        <row r="229">
          <cell r="X229">
            <v>480300</v>
          </cell>
          <cell r="Z229">
            <v>-103318</v>
          </cell>
        </row>
        <row r="230">
          <cell r="X230">
            <v>453000</v>
          </cell>
          <cell r="Z230">
            <v>-98759</v>
          </cell>
        </row>
        <row r="231">
          <cell r="X231">
            <v>461500</v>
          </cell>
          <cell r="Z231" t="str">
            <v xml:space="preserve">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and Actual"/>
      <sheetName val="Steel Comp."/>
      <sheetName val="INSTRUCTIONS"/>
      <sheetName val="BUS PLAN INPUT"/>
      <sheetName val="DATABASE"/>
      <sheetName val="CPC BUSINESS PLAN"/>
      <sheetName val="ACCT RESPONSIBILITY"/>
    </sheetNames>
    <sheetDataSet>
      <sheetData sheetId="0" refreshError="1"/>
      <sheetData sheetId="1" refreshError="1">
        <row r="1">
          <cell r="U1">
            <v>36516.593935879631</v>
          </cell>
        </row>
        <row r="8">
          <cell r="W8" t="str">
            <v>Jan</v>
          </cell>
          <cell r="X8">
            <v>445400</v>
          </cell>
          <cell r="Y8">
            <v>440644</v>
          </cell>
          <cell r="Z8">
            <v>-4756</v>
          </cell>
        </row>
        <row r="9">
          <cell r="W9" t="str">
            <v>Feb</v>
          </cell>
          <cell r="X9">
            <v>398200</v>
          </cell>
          <cell r="Y9">
            <v>425021</v>
          </cell>
          <cell r="Z9">
            <v>22065</v>
          </cell>
        </row>
        <row r="10">
          <cell r="W10" t="str">
            <v>Mar</v>
          </cell>
          <cell r="X10">
            <v>423600</v>
          </cell>
          <cell r="Y10">
            <v>440205</v>
          </cell>
          <cell r="Z10">
            <v>38670</v>
          </cell>
        </row>
        <row r="11">
          <cell r="W11" t="str">
            <v>Apr</v>
          </cell>
          <cell r="X11">
            <v>427700</v>
          </cell>
          <cell r="Y11">
            <v>441297</v>
          </cell>
          <cell r="Z11">
            <v>52267</v>
          </cell>
        </row>
        <row r="12">
          <cell r="W12" t="str">
            <v>May</v>
          </cell>
          <cell r="X12">
            <v>440100</v>
          </cell>
          <cell r="Y12">
            <v>461839</v>
          </cell>
          <cell r="Z12">
            <v>74006</v>
          </cell>
        </row>
        <row r="13">
          <cell r="W13" t="str">
            <v>Jun</v>
          </cell>
          <cell r="X13">
            <v>413200</v>
          </cell>
          <cell r="Y13">
            <v>458716</v>
          </cell>
          <cell r="Z13">
            <v>119522</v>
          </cell>
        </row>
        <row r="14">
          <cell r="W14" t="str">
            <v>Jul</v>
          </cell>
          <cell r="X14">
            <v>442500</v>
          </cell>
          <cell r="Y14">
            <v>441325</v>
          </cell>
          <cell r="Z14">
            <v>118347</v>
          </cell>
        </row>
        <row r="15">
          <cell r="W15" t="str">
            <v>Aug</v>
          </cell>
          <cell r="X15">
            <v>441600</v>
          </cell>
          <cell r="Y15">
            <v>463389</v>
          </cell>
          <cell r="Z15">
            <v>140136</v>
          </cell>
        </row>
        <row r="16">
          <cell r="W16" t="str">
            <v>Sep</v>
          </cell>
          <cell r="X16">
            <v>417200</v>
          </cell>
          <cell r="Y16">
            <v>298750</v>
          </cell>
          <cell r="Z16">
            <v>21686</v>
          </cell>
        </row>
        <row r="17">
          <cell r="W17" t="str">
            <v>Oct</v>
          </cell>
          <cell r="X17">
            <v>431500</v>
          </cell>
          <cell r="Y17">
            <v>454596</v>
          </cell>
          <cell r="Z17">
            <v>44782</v>
          </cell>
        </row>
        <row r="18">
          <cell r="W18" t="str">
            <v>Nov</v>
          </cell>
          <cell r="X18">
            <v>351000</v>
          </cell>
          <cell r="Y18">
            <v>457559</v>
          </cell>
          <cell r="Z18">
            <v>151341</v>
          </cell>
        </row>
        <row r="19">
          <cell r="W19" t="str">
            <v>Dec</v>
          </cell>
          <cell r="X19">
            <v>436400</v>
          </cell>
          <cell r="Y19" t="str">
            <v xml:space="preserve"> </v>
          </cell>
          <cell r="Z19" t="str">
            <v xml:space="preserve"> </v>
          </cell>
        </row>
        <row r="21">
          <cell r="W21" t="str">
            <v>Y-T-D</v>
          </cell>
        </row>
        <row r="220">
          <cell r="X220">
            <v>435700</v>
          </cell>
          <cell r="Z220">
            <v>4944</v>
          </cell>
        </row>
        <row r="221">
          <cell r="X221">
            <v>404900</v>
          </cell>
          <cell r="Z221">
            <v>25065</v>
          </cell>
        </row>
        <row r="222">
          <cell r="X222">
            <v>452300</v>
          </cell>
          <cell r="Z222">
            <v>12970</v>
          </cell>
        </row>
        <row r="223">
          <cell r="X223">
            <v>417900</v>
          </cell>
          <cell r="Z223">
            <v>36367</v>
          </cell>
        </row>
        <row r="224">
          <cell r="X224">
            <v>450300</v>
          </cell>
          <cell r="Z224">
            <v>47906</v>
          </cell>
        </row>
        <row r="225">
          <cell r="X225">
            <v>456300</v>
          </cell>
          <cell r="Z225">
            <v>50322</v>
          </cell>
        </row>
        <row r="226">
          <cell r="X226">
            <v>469500</v>
          </cell>
          <cell r="Z226">
            <v>22147</v>
          </cell>
        </row>
        <row r="227">
          <cell r="X227">
            <v>477300</v>
          </cell>
          <cell r="Z227">
            <v>8236</v>
          </cell>
        </row>
        <row r="228">
          <cell r="X228">
            <v>384600</v>
          </cell>
          <cell r="Z228">
            <v>-77614</v>
          </cell>
        </row>
        <row r="229">
          <cell r="X229">
            <v>480300</v>
          </cell>
          <cell r="Z229">
            <v>-103318</v>
          </cell>
        </row>
        <row r="230">
          <cell r="X230">
            <v>453000</v>
          </cell>
          <cell r="Z230">
            <v>-98759</v>
          </cell>
        </row>
        <row r="231">
          <cell r="X231">
            <v>461500</v>
          </cell>
          <cell r="Z231" t="str">
            <v xml:space="preserve">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VVa"/>
      <sheetName val="A"/>
      <sheetName val="B"/>
      <sheetName val="C"/>
      <sheetName val="E"/>
      <sheetName val="D"/>
      <sheetName val="H"/>
      <sheetName val="F"/>
      <sheetName val="G"/>
      <sheetName val="J"/>
      <sheetName val="Gross Margin Displayed"/>
      <sheetName val="I"/>
      <sheetName val="anaa"/>
      <sheetName val="K"/>
      <sheetName val="L"/>
      <sheetName val="accruals"/>
      <sheetName val="N"/>
      <sheetName val="M"/>
      <sheetName val="O"/>
      <sheetName val="P"/>
      <sheetName val="S"/>
      <sheetName val="Q"/>
      <sheetName val="R"/>
      <sheetName val="T"/>
      <sheetName val="U"/>
      <sheetName val="V"/>
      <sheetName val="Y"/>
      <sheetName val="W"/>
      <sheetName val="X"/>
      <sheetName val="Z"/>
      <sheetName val="AA"/>
      <sheetName val="AD"/>
      <sheetName val="AE"/>
      <sheetName val="AF"/>
      <sheetName val="AG"/>
      <sheetName val="AI"/>
      <sheetName val="AH"/>
      <sheetName val="AK"/>
      <sheetName val="AL"/>
      <sheetName val="AM"/>
      <sheetName val="AR"/>
      <sheetName val="AT"/>
      <sheetName val="BG"/>
      <sheetName val="BH"/>
      <sheetName val="BI"/>
      <sheetName val="BJ"/>
      <sheetName val="BK"/>
      <sheetName val="BF COST"/>
      <sheetName val="SP COST"/>
      <sheetName val="EXTRAORDINARY SPENDING"/>
      <sheetName val="FOOTNOTES"/>
      <sheetName val="Ending Balances"/>
      <sheetName val="Entry"/>
      <sheetName val="LIFO &amp; LCM"/>
      <sheetName val="Market Prices"/>
      <sheetName val="Scrap Prices"/>
      <sheetName val="Flux Detail Oct"/>
      <sheetName val="Flux Detail"/>
      <sheetName val="DATABASE"/>
      <sheetName val="KPI 1"/>
      <sheetName val="KPI 2"/>
      <sheetName val="CCC NBU"/>
      <sheetName val="CCC IBU"/>
      <sheetName val="CCC TOTAL"/>
      <sheetName val="CPC PAYROLL DATA"/>
      <sheetName val="CCC BP P&amp;L STMT"/>
      <sheetName val="CPC BP P&amp;L STMT"/>
      <sheetName val="Larry's Data I"/>
      <sheetName val="Larry's Data II"/>
      <sheetName val="2003-2006 SAFETY INCIDENTS"/>
      <sheetName val="CO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7">
          <cell r="B7" t="str">
            <v>Jan</v>
          </cell>
          <cell r="C7" t="str">
            <v>Feb</v>
          </cell>
          <cell r="D7" t="str">
            <v>Mar</v>
          </cell>
          <cell r="E7" t="str">
            <v>Apr</v>
          </cell>
          <cell r="F7" t="str">
            <v>May</v>
          </cell>
          <cell r="G7" t="str">
            <v>Jun</v>
          </cell>
          <cell r="H7" t="str">
            <v>Jul</v>
          </cell>
          <cell r="I7" t="str">
            <v>Aug</v>
          </cell>
          <cell r="J7" t="str">
            <v>Sep</v>
          </cell>
          <cell r="K7" t="str">
            <v>Oct</v>
          </cell>
          <cell r="L7" t="str">
            <v>Nov</v>
          </cell>
          <cell r="M7" t="str">
            <v>Dec</v>
          </cell>
        </row>
        <row r="18">
          <cell r="B18">
            <v>31909</v>
          </cell>
          <cell r="C18">
            <v>31909</v>
          </cell>
          <cell r="D18">
            <v>31911</v>
          </cell>
          <cell r="E18">
            <v>31908</v>
          </cell>
          <cell r="F18">
            <v>31908</v>
          </cell>
          <cell r="G18">
            <v>31910</v>
          </cell>
          <cell r="H18">
            <v>31917</v>
          </cell>
          <cell r="I18">
            <v>31915</v>
          </cell>
          <cell r="J18">
            <v>31901</v>
          </cell>
          <cell r="K18">
            <v>31895</v>
          </cell>
          <cell r="L18">
            <v>31884</v>
          </cell>
          <cell r="M18">
            <v>31863</v>
          </cell>
        </row>
        <row r="20">
          <cell r="B20">
            <v>108998</v>
          </cell>
          <cell r="C20">
            <v>109698</v>
          </cell>
          <cell r="D20">
            <v>112690</v>
          </cell>
          <cell r="E20">
            <v>106650</v>
          </cell>
          <cell r="F20">
            <v>110070</v>
          </cell>
          <cell r="G20">
            <v>109220</v>
          </cell>
          <cell r="H20">
            <v>108306</v>
          </cell>
          <cell r="I20">
            <v>110017</v>
          </cell>
          <cell r="J20">
            <v>106915</v>
          </cell>
          <cell r="K20">
            <v>105303</v>
          </cell>
          <cell r="L20">
            <v>106979</v>
          </cell>
          <cell r="M20">
            <v>103248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ancial statements"/>
      <sheetName val="Cash Flow"/>
      <sheetName val="NOPAT"/>
      <sheetName val="Avg invested capital"/>
      <sheetName val="Enterprise Value (EV)"/>
      <sheetName val="Ratios"/>
      <sheetName val="Bonus"/>
      <sheetName val="AIP"/>
      <sheetName val="1stQ03"/>
      <sheetName val="Co Legal (2)"/>
      <sheetName val="CoMangrl (2)"/>
      <sheetName val="Flat Legal (2)"/>
      <sheetName val="Flat Mgrl (2)"/>
      <sheetName val="Bar (2)"/>
      <sheetName val="Consol (2)"/>
      <sheetName val="Co Legal"/>
      <sheetName val="CoMangrl"/>
      <sheetName val="Flat Legal"/>
      <sheetName val="Flat Mgrl"/>
      <sheetName val="Bar"/>
      <sheetName val="Consol"/>
      <sheetName val="FIFO Provision"/>
      <sheetName val="Jan 2003"/>
      <sheetName val="Jan Other"/>
      <sheetName val="Jan Graph"/>
      <sheetName val="Feb 2003"/>
      <sheetName val="Feb Other"/>
      <sheetName val="Feb Graph"/>
      <sheetName val="Mar 2003"/>
      <sheetName val="Mar Other"/>
      <sheetName val="Mar Graph"/>
      <sheetName val="Mar 2003 YTD"/>
      <sheetName val="Mar YTD Other"/>
      <sheetName val="Mar YTD Graph"/>
      <sheetName val="Apr 2003"/>
      <sheetName val="Apr Other"/>
      <sheetName val="Apr Graph"/>
      <sheetName val="May 2003"/>
      <sheetName val="May Other"/>
      <sheetName val="May Graph"/>
      <sheetName val="June 2003"/>
      <sheetName val="June Other"/>
      <sheetName val="June Graph"/>
      <sheetName val="2nd Quarter"/>
      <sheetName val="June 2003 YTD"/>
      <sheetName val="July 2003"/>
      <sheetName val="July Other"/>
      <sheetName val="July Graph"/>
      <sheetName val="August 2003"/>
      <sheetName val="August Other"/>
      <sheetName val="August Graph"/>
      <sheetName val="August QTD"/>
      <sheetName val="August YTD"/>
      <sheetName val="July YTD"/>
      <sheetName val="June YTD Other"/>
      <sheetName val="May - 2QTD"/>
      <sheetName val="May 2003 YTD"/>
      <sheetName val="Apr 2003 YTD"/>
      <sheetName val="Feb 2003 YTD"/>
      <sheetName val="Feb YTD Other"/>
      <sheetName val="Feb YTD Graph"/>
      <sheetName val="September 2003"/>
      <sheetName val="September Other"/>
      <sheetName val="September Graph"/>
      <sheetName val="Third Quarter 2003"/>
      <sheetName val="Third Quarter Other"/>
      <sheetName val="YTD September 2003"/>
      <sheetName val="YTD September Other"/>
      <sheetName val="October 2003"/>
      <sheetName val="October Other"/>
      <sheetName val="Sheet1"/>
      <sheetName val="Sheet2"/>
      <sheetName val="October Graph"/>
      <sheetName val="YTD October 2003"/>
      <sheetName val="YTD October  Other"/>
    </sheetNames>
    <sheetDataSet>
      <sheetData sheetId="0"/>
      <sheetData sheetId="1">
        <row r="1">
          <cell r="A1" t="str">
            <v>ISPAT INLAND INC.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and Actual"/>
      <sheetName val="Steel Comp."/>
      <sheetName val="INSTRUCTIONS"/>
      <sheetName val="BUS PLAN INPUT"/>
      <sheetName val="DATABASE"/>
      <sheetName val="CPC BUSINESS PLAN"/>
      <sheetName val="ACCT RESPONSIBILITY"/>
    </sheetNames>
    <sheetDataSet>
      <sheetData sheetId="0" refreshError="1"/>
      <sheetData sheetId="1" refreshError="1">
        <row r="8">
          <cell r="W8" t="str">
            <v>Jan</v>
          </cell>
          <cell r="X8">
            <v>445400</v>
          </cell>
          <cell r="Y8">
            <v>440644</v>
          </cell>
          <cell r="Z8">
            <v>-4756</v>
          </cell>
        </row>
        <row r="9">
          <cell r="W9" t="str">
            <v>Feb</v>
          </cell>
          <cell r="X9">
            <v>398200</v>
          </cell>
          <cell r="Y9">
            <v>425021</v>
          </cell>
          <cell r="Z9">
            <v>22065</v>
          </cell>
        </row>
        <row r="10">
          <cell r="W10" t="str">
            <v>Mar</v>
          </cell>
          <cell r="X10">
            <v>423600</v>
          </cell>
          <cell r="Y10">
            <v>440205</v>
          </cell>
          <cell r="Z10">
            <v>38670</v>
          </cell>
        </row>
        <row r="11">
          <cell r="W11" t="str">
            <v>Apr</v>
          </cell>
          <cell r="X11">
            <v>427700</v>
          </cell>
          <cell r="Y11">
            <v>441297</v>
          </cell>
          <cell r="Z11">
            <v>52267</v>
          </cell>
        </row>
        <row r="12">
          <cell r="W12" t="str">
            <v>May</v>
          </cell>
          <cell r="X12">
            <v>440100</v>
          </cell>
          <cell r="Y12">
            <v>461839</v>
          </cell>
          <cell r="Z12">
            <v>74006</v>
          </cell>
        </row>
        <row r="13">
          <cell r="W13" t="str">
            <v>Jun</v>
          </cell>
          <cell r="X13">
            <v>413200</v>
          </cell>
          <cell r="Y13">
            <v>458716</v>
          </cell>
          <cell r="Z13">
            <v>119522</v>
          </cell>
        </row>
        <row r="14">
          <cell r="W14" t="str">
            <v>Jul</v>
          </cell>
          <cell r="X14">
            <v>442500</v>
          </cell>
          <cell r="Y14">
            <v>441325</v>
          </cell>
          <cell r="Z14">
            <v>118347</v>
          </cell>
        </row>
        <row r="15">
          <cell r="W15" t="str">
            <v>Aug</v>
          </cell>
          <cell r="X15">
            <v>441600</v>
          </cell>
          <cell r="Y15">
            <v>463389</v>
          </cell>
          <cell r="Z15">
            <v>140136</v>
          </cell>
        </row>
        <row r="16">
          <cell r="W16" t="str">
            <v>Sep</v>
          </cell>
          <cell r="X16">
            <v>417200</v>
          </cell>
          <cell r="Y16">
            <v>298750</v>
          </cell>
          <cell r="Z16">
            <v>21686</v>
          </cell>
        </row>
        <row r="17">
          <cell r="W17" t="str">
            <v>Oct</v>
          </cell>
          <cell r="X17">
            <v>431500</v>
          </cell>
          <cell r="Y17">
            <v>454596</v>
          </cell>
          <cell r="Z17">
            <v>44782</v>
          </cell>
        </row>
        <row r="18">
          <cell r="W18" t="str">
            <v>Nov</v>
          </cell>
          <cell r="X18">
            <v>351000</v>
          </cell>
          <cell r="Y18">
            <v>457559</v>
          </cell>
          <cell r="Z18">
            <v>151341</v>
          </cell>
        </row>
        <row r="19">
          <cell r="W19" t="str">
            <v>Dec</v>
          </cell>
          <cell r="X19">
            <v>436400</v>
          </cell>
          <cell r="Y19" t="str">
            <v xml:space="preserve"> </v>
          </cell>
          <cell r="Z19" t="str">
            <v xml:space="preserve"> </v>
          </cell>
        </row>
        <row r="21">
          <cell r="W21" t="str">
            <v>Y-T-D</v>
          </cell>
        </row>
        <row r="220">
          <cell r="X220">
            <v>435700</v>
          </cell>
          <cell r="Z220">
            <v>4944</v>
          </cell>
        </row>
        <row r="221">
          <cell r="X221">
            <v>404900</v>
          </cell>
          <cell r="Z221">
            <v>25065</v>
          </cell>
        </row>
        <row r="222">
          <cell r="X222">
            <v>452300</v>
          </cell>
          <cell r="Z222">
            <v>12970</v>
          </cell>
        </row>
        <row r="223">
          <cell r="X223">
            <v>417900</v>
          </cell>
          <cell r="Z223">
            <v>36367</v>
          </cell>
        </row>
        <row r="224">
          <cell r="X224">
            <v>450300</v>
          </cell>
          <cell r="Z224">
            <v>47906</v>
          </cell>
        </row>
        <row r="225">
          <cell r="X225">
            <v>456300</v>
          </cell>
          <cell r="Z225">
            <v>50322</v>
          </cell>
        </row>
        <row r="226">
          <cell r="X226">
            <v>469500</v>
          </cell>
          <cell r="Z226">
            <v>22147</v>
          </cell>
        </row>
        <row r="227">
          <cell r="X227">
            <v>477300</v>
          </cell>
          <cell r="Z227">
            <v>8236</v>
          </cell>
        </row>
        <row r="228">
          <cell r="X228">
            <v>384600</v>
          </cell>
          <cell r="Z228">
            <v>-77614</v>
          </cell>
        </row>
        <row r="229">
          <cell r="X229">
            <v>480300</v>
          </cell>
          <cell r="Z229">
            <v>-103318</v>
          </cell>
        </row>
        <row r="230">
          <cell r="X230">
            <v>453000</v>
          </cell>
          <cell r="Z230">
            <v>-98759</v>
          </cell>
        </row>
        <row r="231">
          <cell r="X231">
            <v>461500</v>
          </cell>
          <cell r="Z231" t="str">
            <v xml:space="preserve">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elunchData"/>
      <sheetName val="IP%Chg"/>
      <sheetName val="IPOnly"/>
      <sheetName val="USA"/>
      <sheetName val="Japan"/>
      <sheetName val="Germany"/>
      <sheetName val="France"/>
      <sheetName val="Italy"/>
      <sheetName val="UK"/>
      <sheetName val="Europe(big 4)"/>
      <sheetName val="Europe(big 3)"/>
      <sheetName val="Summary"/>
      <sheetName val="Cost bridge"/>
      <sheetName val="Q1 2011 - Q2 201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 - mandates portfolio"/>
      <sheetName val="market data"/>
      <sheetName val="Fx follow-up"/>
      <sheetName val="Base Metal follow-up"/>
      <sheetName val="Natural gas follow-up"/>
      <sheetName val="CO2 follow-up"/>
      <sheetName val="Oil follow-up"/>
      <sheetName val="Electricity follow-up"/>
      <sheetName val="Stocks follow-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Capa"/>
      <sheetName val="Vendas"/>
      <sheetName val="BD"/>
      <sheetName val="Grafico-Belgo"/>
      <sheetName val="Grafico-JF"/>
      <sheetName val="Grafico-Pira"/>
      <sheetName val="Grafico-1"/>
      <sheetName val="Grafico-2"/>
      <sheetName val="RESULT."/>
      <sheetName val="RESULT. Belgo+Pira"/>
      <sheetName val="RESULT. Belgo"/>
      <sheetName val="RESULT. BMP"/>
      <sheetName val="RESULT. PIRA"/>
      <sheetName val="RESULT. SETOR"/>
      <sheetName val="RESULT. SETOR-98"/>
      <sheetName val="DGA"/>
      <sheetName val="DGA-CSTO"/>
      <sheetName val="DGA - VENDAS"/>
      <sheetName val="EQUIV-ANO"/>
      <sheetName val="T-EQUIV-MES"/>
      <sheetName val="Plan2"/>
      <sheetName val="FLUXO CAIXA"/>
      <sheetName val="FLUXO CAIXA-BMP"/>
      <sheetName val="FLUXO CAIXA-PIRA"/>
      <sheetName val="FLUXO CAIXA-SIDER"/>
      <sheetName val="Investimento"/>
      <sheetName val="PERFIL"/>
      <sheetName val="PERFIL (2)"/>
      <sheetName val="EVOLUÇÃO DA DÍVIDA"/>
      <sheetName val="Serviço"/>
      <sheetName val="Comp. - Resu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DFA77-2766-49B4-A243-3C0C86597A2D}">
  <sheetPr codeName="Sheet2">
    <tabColor rgb="FF00B0F0"/>
  </sheetPr>
  <dimension ref="B2:H17"/>
  <sheetViews>
    <sheetView workbookViewId="0">
      <selection activeCell="C10" sqref="C10"/>
    </sheetView>
  </sheetViews>
  <sheetFormatPr defaultColWidth="8.53125" defaultRowHeight="12.75"/>
  <cols>
    <col min="1" max="1" width="2.6640625" style="1" customWidth="1"/>
    <col min="2" max="2" width="18.59765625" style="1" bestFit="1" customWidth="1"/>
    <col min="3" max="3" width="11.1328125" style="1" bestFit="1" customWidth="1"/>
    <col min="4" max="5" width="11.1328125" style="1" customWidth="1"/>
    <col min="6" max="6" width="7.1328125" style="1" bestFit="1" customWidth="1"/>
    <col min="7" max="7" width="9.73046875" style="1" customWidth="1"/>
    <col min="8" max="16384" width="8.53125" style="1"/>
  </cols>
  <sheetData>
    <row r="2" spans="2:8" ht="13.15">
      <c r="B2" s="137" t="s">
        <v>0</v>
      </c>
      <c r="C2" s="138"/>
    </row>
    <row r="3" spans="2:8">
      <c r="B3" s="2" t="s">
        <v>1</v>
      </c>
      <c r="C3" s="3">
        <f>Volatility</f>
        <v>1.5584837213330273E-2</v>
      </c>
    </row>
    <row r="4" spans="2:8">
      <c r="B4" s="4" t="s">
        <v>2</v>
      </c>
      <c r="C4" s="5">
        <f>Mean_Reversion</f>
        <v>1.4513285337643091E-2</v>
      </c>
    </row>
    <row r="5" spans="2:8" ht="4.5" customHeight="1"/>
    <row r="6" spans="2:8" ht="39.4">
      <c r="B6" s="6" t="s">
        <v>3</v>
      </c>
      <c r="C6" s="7" t="s">
        <v>4</v>
      </c>
      <c r="D6" s="7" t="s">
        <v>5</v>
      </c>
      <c r="E6" s="7" t="s">
        <v>6</v>
      </c>
      <c r="F6" s="7" t="s">
        <v>7</v>
      </c>
      <c r="G6" s="7" t="s">
        <v>8</v>
      </c>
      <c r="H6" s="8" t="s">
        <v>8</v>
      </c>
    </row>
    <row r="7" spans="2:8">
      <c r="B7" s="9" t="s">
        <v>9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10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11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12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13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14</v>
      </c>
      <c r="C13" s="28">
        <f>'Discount Curve'!C3</f>
        <v>43150</v>
      </c>
    </row>
    <row r="15" spans="2:8">
      <c r="B15" s="29" t="s">
        <v>15</v>
      </c>
      <c r="C15" s="29"/>
      <c r="D15" s="29"/>
      <c r="E15" s="29"/>
      <c r="F15" s="29"/>
      <c r="G15" s="29"/>
      <c r="H15" s="29"/>
    </row>
    <row r="16" spans="2:8">
      <c r="B16" s="1" t="s">
        <v>16</v>
      </c>
    </row>
    <row r="17" spans="2:2">
      <c r="B17" s="1" t="s">
        <v>17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D0A47-C042-40C9-8121-F90CCA264B84}">
  <sheetPr codeName="Sheet21">
    <tabColor rgb="FF00B0F0"/>
  </sheetPr>
  <dimension ref="B1:Z10029"/>
  <sheetViews>
    <sheetView zoomScale="85" zoomScaleNormal="85" workbookViewId="0"/>
  </sheetViews>
  <sheetFormatPr defaultColWidth="8.53125" defaultRowHeight="14.25"/>
  <cols>
    <col min="1" max="1" width="3.19921875" customWidth="1"/>
    <col min="2" max="2" width="17.46484375" customWidth="1"/>
    <col min="3" max="3" width="18.06640625" bestFit="1" customWidth="1"/>
    <col min="4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39" t="s">
        <v>18</v>
      </c>
      <c r="C2" s="31" t="s">
        <v>19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thickBot="1">
      <c r="B3" s="140"/>
      <c r="C3" s="33" t="s">
        <v>20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thickTop="1">
      <c r="B4" s="141"/>
      <c r="C4" s="33" t="s">
        <v>21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1"/>
      <c r="C5" s="33" t="s">
        <v>22</v>
      </c>
      <c r="D5" s="37">
        <f>SwapRate(0,Maturity,Frequency)</f>
        <v>2.8389999999999995E-2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1"/>
      <c r="C6" s="33" t="s">
        <v>23</v>
      </c>
      <c r="D6" s="38">
        <v>1.6295208820648079E-2</v>
      </c>
      <c r="E6" s="30"/>
      <c r="F6" s="30"/>
      <c r="G6" s="143">
        <v>99.997846887045938</v>
      </c>
      <c r="H6" s="30"/>
      <c r="I6" s="144">
        <v>1.6303590985464075E-2</v>
      </c>
      <c r="J6" s="30"/>
      <c r="L6" s="30"/>
      <c r="M6" s="30"/>
      <c r="N6" s="30"/>
      <c r="O6" s="30"/>
    </row>
    <row r="7" spans="2:15">
      <c r="B7" s="141"/>
      <c r="C7" s="33" t="s">
        <v>24</v>
      </c>
      <c r="D7" s="36" t="s">
        <v>25</v>
      </c>
      <c r="E7" s="30"/>
      <c r="F7" s="30"/>
      <c r="G7" s="143"/>
      <c r="H7" s="30"/>
      <c r="I7" s="144"/>
      <c r="J7" s="30"/>
      <c r="L7" s="30"/>
      <c r="M7" s="30"/>
      <c r="N7" s="30"/>
      <c r="O7" s="30"/>
    </row>
    <row r="8" spans="2:15">
      <c r="B8" s="141"/>
      <c r="C8" s="33" t="s">
        <v>26</v>
      </c>
      <c r="D8" s="36" t="s">
        <v>27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1"/>
      <c r="C9" s="33" t="s">
        <v>28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1"/>
      <c r="C10" s="33" t="s">
        <v>29</v>
      </c>
      <c r="D10" s="36" t="s">
        <v>30</v>
      </c>
      <c r="E10" s="30"/>
      <c r="F10" s="1" t="s">
        <v>31</v>
      </c>
    </row>
    <row r="11" spans="2:15">
      <c r="B11" s="141"/>
      <c r="C11" s="33" t="s">
        <v>32</v>
      </c>
      <c r="D11" s="39">
        <v>0</v>
      </c>
      <c r="E11" s="30"/>
      <c r="F11" s="1" t="s">
        <v>33</v>
      </c>
    </row>
    <row r="12" spans="2:15">
      <c r="B12" s="141"/>
      <c r="C12" s="33" t="s">
        <v>34</v>
      </c>
      <c r="D12" s="39">
        <v>0</v>
      </c>
      <c r="E12" s="30"/>
      <c r="F12" s="1" t="s">
        <v>35</v>
      </c>
    </row>
    <row r="13" spans="2:15">
      <c r="B13" s="142"/>
      <c r="C13" s="40" t="s">
        <v>36</v>
      </c>
      <c r="D13" s="41">
        <v>0</v>
      </c>
      <c r="E13" s="30"/>
      <c r="F13" s="1" t="s">
        <v>37</v>
      </c>
    </row>
    <row r="14" spans="2:15">
      <c r="B14" s="145" t="s">
        <v>38</v>
      </c>
      <c r="C14" s="33" t="s">
        <v>39</v>
      </c>
      <c r="D14" s="42">
        <f>MeanReversionRegression</f>
        <v>1.4513285337643091E-2</v>
      </c>
      <c r="E14" s="30"/>
      <c r="F14" s="1" t="s">
        <v>40</v>
      </c>
    </row>
    <row r="15" spans="2:15" ht="15" customHeight="1" thickBot="1">
      <c r="B15" s="146"/>
      <c r="C15" s="43" t="s">
        <v>1</v>
      </c>
      <c r="D15" s="44">
        <f>VolatilityCalibration</f>
        <v>1.5584837213330273E-2</v>
      </c>
      <c r="E15" s="30"/>
      <c r="F15" s="1" t="s">
        <v>41</v>
      </c>
    </row>
    <row r="16" spans="2:15" ht="15" customHeight="1" thickTop="1">
      <c r="E16" s="30"/>
      <c r="F16" s="1" t="s">
        <v>42</v>
      </c>
    </row>
    <row r="17" spans="2:26">
      <c r="E17" s="30"/>
      <c r="F17" s="1" t="s">
        <v>43</v>
      </c>
      <c r="G17" s="45"/>
    </row>
    <row r="18" spans="2:26" ht="15" customHeight="1">
      <c r="B18" s="147" t="s">
        <v>44</v>
      </c>
      <c r="C18" s="150" t="s">
        <v>45</v>
      </c>
      <c r="D18" s="151"/>
      <c r="E18" s="30"/>
      <c r="F18" s="1" t="s">
        <v>46</v>
      </c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8"/>
      <c r="C19" s="47" t="s">
        <v>47</v>
      </c>
      <c r="D19" s="48">
        <v>1E-3</v>
      </c>
      <c r="E19" s="30"/>
      <c r="F19" s="49" t="s">
        <v>48</v>
      </c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8"/>
      <c r="C20" s="150" t="s">
        <v>49</v>
      </c>
      <c r="D20" s="151"/>
      <c r="E20" s="30"/>
      <c r="F20" s="1" t="s">
        <v>50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8"/>
      <c r="C21" s="52" t="s">
        <v>39</v>
      </c>
      <c r="D21" s="53" t="s">
        <v>51</v>
      </c>
      <c r="E21" s="30"/>
      <c r="F21" s="1" t="s">
        <v>52</v>
      </c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8"/>
      <c r="C22" s="150" t="s">
        <v>53</v>
      </c>
      <c r="D22" s="151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8"/>
      <c r="C23" s="47" t="s">
        <v>54</v>
      </c>
      <c r="D23" s="56">
        <f>Delta</f>
        <v>1E-3</v>
      </c>
      <c r="E23" s="30"/>
      <c r="F23" s="57" t="s">
        <v>55</v>
      </c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8"/>
      <c r="C24" s="58" t="s">
        <v>56</v>
      </c>
      <c r="D24" s="59">
        <v>1.0000000000000001E-5</v>
      </c>
      <c r="E24" s="30"/>
      <c r="F24" s="57" t="s">
        <v>57</v>
      </c>
      <c r="Z24" s="60"/>
    </row>
    <row r="25" spans="2:26">
      <c r="B25" s="148"/>
      <c r="C25" s="58" t="s">
        <v>58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8"/>
      <c r="C26" s="58" t="s">
        <v>59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thickBot="1">
      <c r="B27" s="149"/>
      <c r="C27" s="65" t="s">
        <v>60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2:B13"/>
    <mergeCell ref="G6:G7"/>
    <mergeCell ref="I6:I7"/>
    <mergeCell ref="B14:B15"/>
    <mergeCell ref="B18:B27"/>
    <mergeCell ref="C18:D18"/>
    <mergeCell ref="C20:D20"/>
    <mergeCell ref="C22:D22"/>
  </mergeCells>
  <dataValidations count="6">
    <dataValidation type="list" allowBlank="1" showInputMessage="1" showErrorMessage="1" sqref="D7" xr:uid="{BAEFD8DA-2D7B-40A7-927E-4EDE36D09935}">
      <formula1>"Call,Put"</formula1>
    </dataValidation>
    <dataValidation type="list" allowBlank="1" showInputMessage="1" showErrorMessage="1" sqref="D8" xr:uid="{1B965726-5CDF-4447-B551-58C07AAE6479}">
      <formula1>"European,Bermudan,American"</formula1>
    </dataValidation>
    <dataValidation type="list" allowBlank="1" showInputMessage="1" showErrorMessage="1" sqref="D21" xr:uid="{9CE697EE-860A-44C8-B156-BBAA2EDA055C}">
      <formula1>"Regression,Calibration"</formula1>
    </dataValidation>
    <dataValidation allowBlank="1" showInputMessage="1" showErrorMessage="1" prompt="Do not modify the content of these cells_x000a_" sqref="B34:B44" xr:uid="{4FAA7BCC-1AC9-4A13-AFFB-09D6208B5C35}"/>
    <dataValidation type="list" allowBlank="1" showInputMessage="1" showErrorMessage="1" sqref="D10" xr:uid="{13A1AD6B-0817-4071-BB74-46F38B501E8E}">
      <formula1>"Yes,No"</formula1>
    </dataValidation>
    <dataValidation allowBlank="1" showInputMessage="1" showErrorMessage="1" prompt="Do not modify the content of these cells" sqref="B45:B46" xr:uid="{C445DC38-702D-4081-916E-92D678FFA661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34F05-F314-44EE-872D-3A3202386629}">
  <sheetPr codeName="Sheet3">
    <tabColor rgb="FF00B0F0"/>
  </sheetPr>
  <dimension ref="B1:BQ67"/>
  <sheetViews>
    <sheetView zoomScale="70" zoomScaleNormal="70" workbookViewId="0"/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6384" width="8.53125" style="1"/>
  </cols>
  <sheetData>
    <row r="1" spans="2:69">
      <c r="E1" s="73"/>
      <c r="M1" s="74"/>
      <c r="N1" s="75"/>
    </row>
    <row r="2" spans="2:69" ht="26.25">
      <c r="B2" s="76" t="s">
        <v>61</v>
      </c>
      <c r="C2" s="77" t="s">
        <v>62</v>
      </c>
      <c r="D2" s="77" t="s">
        <v>63</v>
      </c>
      <c r="E2" s="77" t="s">
        <v>64</v>
      </c>
      <c r="F2" s="77" t="s">
        <v>65</v>
      </c>
      <c r="G2" s="78"/>
      <c r="H2" s="79" t="s">
        <v>66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>DATE(YEAR(T2),MONTH(T2)+6,DAY(T2))</f>
        <v>44062</v>
      </c>
      <c r="V2" s="81">
        <f t="shared" ref="V2:AJ2" si="0">DATE(YEAR(U2),MONTH(U2)+6,DAY(U2))</f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>DATE(YEAR(AF2),MONTH(AF2)+6,DAY(AF2))</f>
        <v>46253</v>
      </c>
      <c r="AH2" s="81">
        <f t="shared" si="0"/>
        <v>46437</v>
      </c>
      <c r="AI2" s="81">
        <f>DATE(YEAR(AH2),MONTH(AH2)+6,DAY(AH2))</f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67</v>
      </c>
      <c r="H3" s="1" t="s">
        <v>68</v>
      </c>
      <c r="I3" s="83">
        <f>YEARFRAC($C$3,I$2)</f>
        <v>8.0555555555555561E-2</v>
      </c>
      <c r="J3" s="83">
        <f t="shared" ref="J3:AJ3" si="2">YEARFRAC($C$3,J$2)</f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>YEARFRAC($C$3,C4,2)</f>
        <v>0.24722222222222223</v>
      </c>
      <c r="C4" s="82">
        <v>43239</v>
      </c>
      <c r="D4" s="85">
        <v>1.8849399999999999E-2</v>
      </c>
      <c r="E4" s="86" t="s">
        <v>69</v>
      </c>
      <c r="F4" s="87">
        <v>1</v>
      </c>
      <c r="H4" s="1" t="s">
        <v>70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>YEARFRAC($C$3,C5,2)</f>
        <v>0.33055555555555555</v>
      </c>
      <c r="C5" s="82">
        <v>43269</v>
      </c>
      <c r="D5" s="90">
        <f>97.955+0.00013</f>
        <v>97.955129999999997</v>
      </c>
      <c r="E5" s="91" t="s">
        <v>71</v>
      </c>
      <c r="F5" s="87">
        <v>0</v>
      </c>
      <c r="H5" s="1" t="s">
        <v>72</v>
      </c>
      <c r="I5" s="92">
        <f>-1</f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71</v>
      </c>
      <c r="F6" s="87">
        <v>0</v>
      </c>
      <c r="H6" s="1" t="s">
        <v>72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71</v>
      </c>
      <c r="F7" s="87">
        <v>0</v>
      </c>
      <c r="H7" s="1" t="s">
        <v>72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71</v>
      </c>
      <c r="F8" s="87">
        <v>0</v>
      </c>
      <c r="H8" s="1" t="s">
        <v>72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71</v>
      </c>
      <c r="F9" s="87">
        <v>0</v>
      </c>
      <c r="H9" s="1" t="s">
        <v>72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71</v>
      </c>
      <c r="F10" s="87">
        <v>0</v>
      </c>
      <c r="H10" s="1" t="s">
        <v>72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73</v>
      </c>
      <c r="F11" s="87">
        <v>1</v>
      </c>
      <c r="H11" s="1" t="s">
        <v>73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73</v>
      </c>
      <c r="F12" s="87">
        <v>1</v>
      </c>
      <c r="H12" s="1" t="s">
        <v>73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AF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73</v>
      </c>
      <c r="F13" s="87">
        <v>1</v>
      </c>
      <c r="H13" s="1" t="s">
        <v>73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si="8"/>
        <v>1.3394999999999999E-2</v>
      </c>
      <c r="W13" s="96">
        <f t="shared" si="8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73</v>
      </c>
      <c r="F14" s="87">
        <v>1</v>
      </c>
      <c r="H14" s="1" t="s">
        <v>73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8"/>
        <v>1.3649974999999998E-2</v>
      </c>
      <c r="W14" s="96">
        <f t="shared" si="8"/>
        <v>1.3649974999999998E-2</v>
      </c>
      <c r="X14" s="96">
        <f t="shared" si="8"/>
        <v>1.3649974999999998E-2</v>
      </c>
      <c r="Y14" s="96">
        <f t="shared" si="8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73</v>
      </c>
      <c r="F15" s="87">
        <v>1</v>
      </c>
      <c r="H15" s="1" t="s">
        <v>73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8"/>
        <v>1.3849999999999999E-2</v>
      </c>
      <c r="W15" s="96">
        <f t="shared" si="8"/>
        <v>1.3849999999999999E-2</v>
      </c>
      <c r="X15" s="96">
        <f t="shared" si="8"/>
        <v>1.3849999999999999E-2</v>
      </c>
      <c r="Y15" s="96">
        <f t="shared" si="8"/>
        <v>1.3849999999999999E-2</v>
      </c>
      <c r="Z15" s="96">
        <f t="shared" si="8"/>
        <v>1.3849999999999999E-2</v>
      </c>
      <c r="AA15" s="96">
        <f t="shared" si="8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73</v>
      </c>
      <c r="F16" s="87">
        <v>1</v>
      </c>
      <c r="H16" s="1" t="s">
        <v>73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8"/>
        <v>1.4039999999999999E-2</v>
      </c>
      <c r="W16" s="96">
        <f t="shared" si="8"/>
        <v>1.4039999999999999E-2</v>
      </c>
      <c r="X16" s="96">
        <f t="shared" si="8"/>
        <v>1.4039999999999999E-2</v>
      </c>
      <c r="Y16" s="96">
        <f t="shared" si="8"/>
        <v>1.4039999999999999E-2</v>
      </c>
      <c r="Z16" s="96">
        <f t="shared" si="8"/>
        <v>1.4039999999999999E-2</v>
      </c>
      <c r="AA16" s="96">
        <f t="shared" si="8"/>
        <v>1.4039999999999999E-2</v>
      </c>
      <c r="AB16" s="96">
        <f t="shared" si="8"/>
        <v>1.4039999999999999E-2</v>
      </c>
      <c r="AC16" s="96">
        <f t="shared" si="8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73</v>
      </c>
      <c r="F17" s="87">
        <v>1</v>
      </c>
      <c r="H17" s="1" t="s">
        <v>73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8"/>
        <v>1.4194999999999999E-2</v>
      </c>
      <c r="W17" s="96">
        <f t="shared" si="8"/>
        <v>1.4194999999999999E-2</v>
      </c>
      <c r="X17" s="96">
        <f t="shared" si="8"/>
        <v>1.4194999999999999E-2</v>
      </c>
      <c r="Y17" s="96">
        <f t="shared" si="8"/>
        <v>1.4194999999999999E-2</v>
      </c>
      <c r="Z17" s="96">
        <f t="shared" si="8"/>
        <v>1.4194999999999999E-2</v>
      </c>
      <c r="AA17" s="96">
        <f t="shared" si="8"/>
        <v>1.4194999999999999E-2</v>
      </c>
      <c r="AB17" s="96">
        <f t="shared" si="8"/>
        <v>1.4194999999999999E-2</v>
      </c>
      <c r="AC17" s="96">
        <f t="shared" si="8"/>
        <v>1.4194999999999999E-2</v>
      </c>
      <c r="AD17" s="96">
        <f t="shared" si="8"/>
        <v>1.4194999999999999E-2</v>
      </c>
      <c r="AE17" s="96">
        <f t="shared" si="8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73</v>
      </c>
      <c r="F18" s="87">
        <v>1</v>
      </c>
      <c r="H18" s="1" t="s">
        <v>73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8"/>
        <v>1.4335000000000001E-2</v>
      </c>
      <c r="W18" s="96">
        <f t="shared" si="8"/>
        <v>1.4335000000000001E-2</v>
      </c>
      <c r="X18" s="96">
        <f t="shared" si="8"/>
        <v>1.4335000000000001E-2</v>
      </c>
      <c r="Y18" s="96">
        <f t="shared" si="8"/>
        <v>1.4335000000000001E-2</v>
      </c>
      <c r="Z18" s="96">
        <f t="shared" si="8"/>
        <v>1.4335000000000001E-2</v>
      </c>
      <c r="AA18" s="96">
        <f t="shared" si="8"/>
        <v>1.4335000000000001E-2</v>
      </c>
      <c r="AB18" s="96">
        <f t="shared" si="8"/>
        <v>1.4335000000000001E-2</v>
      </c>
      <c r="AC18" s="96">
        <f t="shared" si="8"/>
        <v>1.4335000000000001E-2</v>
      </c>
      <c r="AD18" s="96">
        <f t="shared" si="8"/>
        <v>1.4335000000000001E-2</v>
      </c>
      <c r="AE18" s="96">
        <f t="shared" si="8"/>
        <v>1.4335000000000001E-2</v>
      </c>
      <c r="AF18" s="96">
        <f t="shared" si="8"/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73</v>
      </c>
      <c r="F19" s="87">
        <v>1</v>
      </c>
      <c r="H19" s="1" t="s">
        <v>73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8"/>
        <v>1.448E-2</v>
      </c>
      <c r="W19" s="96">
        <f t="shared" si="8"/>
        <v>1.448E-2</v>
      </c>
      <c r="X19" s="96">
        <f t="shared" si="8"/>
        <v>1.448E-2</v>
      </c>
      <c r="Y19" s="96">
        <f t="shared" si="8"/>
        <v>1.448E-2</v>
      </c>
      <c r="Z19" s="96">
        <f t="shared" si="8"/>
        <v>1.448E-2</v>
      </c>
      <c r="AA19" s="96">
        <f t="shared" si="8"/>
        <v>1.448E-2</v>
      </c>
      <c r="AB19" s="96">
        <f t="shared" si="8"/>
        <v>1.448E-2</v>
      </c>
      <c r="AC19" s="96">
        <f t="shared" si="8"/>
        <v>1.448E-2</v>
      </c>
      <c r="AD19" s="96">
        <f t="shared" si="8"/>
        <v>1.448E-2</v>
      </c>
      <c r="AE19" s="96">
        <f t="shared" si="8"/>
        <v>1.448E-2</v>
      </c>
      <c r="AF19" s="96">
        <f t="shared" si="8"/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>
      <c r="B21" s="83"/>
      <c r="C21" s="98" t="s">
        <v>74</v>
      </c>
      <c r="D21" s="99">
        <v>1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93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thickBot="1">
      <c r="B24" s="100" t="s">
        <v>61</v>
      </c>
      <c r="C24" s="101" t="s">
        <v>75</v>
      </c>
      <c r="D24" s="101" t="s">
        <v>76</v>
      </c>
      <c r="E24" s="102" t="s">
        <v>77</v>
      </c>
      <c r="N24" s="103"/>
    </row>
    <row r="25" spans="2:38" ht="13.15">
      <c r="B25" s="104">
        <v>0</v>
      </c>
      <c r="C25" s="105">
        <v>1</v>
      </c>
      <c r="E25" s="106"/>
      <c r="N25" s="103"/>
    </row>
    <row r="26" spans="2:38">
      <c r="B26" s="107">
        <v>8.0555555555555561E-2</v>
      </c>
      <c r="C26" s="108">
        <v>0.99845505448311234</v>
      </c>
      <c r="D26" s="109">
        <f t="shared" ref="D26:D53" si="9">-LN(C26)/B26</f>
        <v>1.9193464251640553E-2</v>
      </c>
      <c r="E26" s="110">
        <f t="shared" ref="E26:E53" si="10">(1/C26-1)/B26</f>
        <v>1.9208309794848454E-2</v>
      </c>
    </row>
    <row r="27" spans="2:38">
      <c r="B27" s="107">
        <v>0.25</v>
      </c>
      <c r="C27" s="108">
        <v>0.9953616242317177</v>
      </c>
      <c r="D27" s="109">
        <f t="shared" si="9"/>
        <v>1.8596665653895408E-2</v>
      </c>
      <c r="E27" s="110">
        <f t="shared" si="10"/>
        <v>1.8639962222222195E-2</v>
      </c>
    </row>
    <row r="28" spans="2:38">
      <c r="B28" s="107">
        <v>0.33055555555555555</v>
      </c>
      <c r="C28" s="108">
        <v>0.99326447396398787</v>
      </c>
      <c r="D28" s="109">
        <f t="shared" si="9"/>
        <v>2.044531381434235E-2</v>
      </c>
      <c r="E28" s="110">
        <f t="shared" si="10"/>
        <v>2.0514557622397921E-2</v>
      </c>
    </row>
    <row r="29" spans="2:38">
      <c r="B29" s="107">
        <v>0.5</v>
      </c>
      <c r="C29" s="108">
        <v>0.98941753660716236</v>
      </c>
      <c r="D29" s="109">
        <f t="shared" si="9"/>
        <v>2.1277711717768162E-2</v>
      </c>
      <c r="E29" s="110">
        <f t="shared" si="10"/>
        <v>2.1391299428805688E-2</v>
      </c>
    </row>
    <row r="30" spans="2:38">
      <c r="B30" s="107">
        <v>0.5805555555555556</v>
      </c>
      <c r="C30" s="108">
        <v>0.98761295757555745</v>
      </c>
      <c r="D30" s="109">
        <f t="shared" si="9"/>
        <v>2.1469782195759558E-2</v>
      </c>
      <c r="E30" s="110">
        <f t="shared" si="10"/>
        <v>2.1604143852178896E-2</v>
      </c>
    </row>
    <row r="31" spans="2:38">
      <c r="B31" s="107">
        <v>0.8305555555555556</v>
      </c>
      <c r="C31" s="108">
        <v>0.98178539636126538</v>
      </c>
      <c r="D31" s="109">
        <f t="shared" si="9"/>
        <v>2.2132814232340089E-2</v>
      </c>
      <c r="E31" s="110">
        <f t="shared" si="10"/>
        <v>2.233749507371368E-2</v>
      </c>
    </row>
    <row r="32" spans="2:38">
      <c r="B32" s="107">
        <v>1</v>
      </c>
      <c r="C32" s="108">
        <v>0.97766569834294215</v>
      </c>
      <c r="D32" s="109">
        <f t="shared" si="9"/>
        <v>2.2587489116918505E-2</v>
      </c>
      <c r="E32" s="110">
        <f t="shared" si="10"/>
        <v>2.2844518013583226E-2</v>
      </c>
    </row>
    <row r="33" spans="2:5">
      <c r="B33" s="107">
        <v>1.0805555555555555</v>
      </c>
      <c r="C33" s="108">
        <v>0.97573144620996943</v>
      </c>
      <c r="D33" s="109">
        <f t="shared" si="9"/>
        <v>2.2736348795093824E-2</v>
      </c>
      <c r="E33" s="110">
        <f t="shared" si="10"/>
        <v>2.301794215290608E-2</v>
      </c>
    </row>
    <row r="34" spans="2:5">
      <c r="B34" s="107">
        <v>1.3305555555555555</v>
      </c>
      <c r="C34" s="108">
        <v>0.96936462702749859</v>
      </c>
      <c r="D34" s="109">
        <f t="shared" si="9"/>
        <v>2.3384552159077324E-2</v>
      </c>
      <c r="E34" s="110">
        <f t="shared" si="10"/>
        <v>2.3752153514166676E-2</v>
      </c>
    </row>
    <row r="35" spans="2:5">
      <c r="B35" s="107">
        <v>1.5</v>
      </c>
      <c r="C35" s="108">
        <v>0.96489045116617378</v>
      </c>
      <c r="D35" s="109">
        <f t="shared" si="9"/>
        <v>2.3827137463243483E-2</v>
      </c>
      <c r="E35" s="110">
        <f t="shared" si="10"/>
        <v>2.4258055265163374E-2</v>
      </c>
    </row>
    <row r="36" spans="2:5">
      <c r="B36" s="107">
        <v>1.5805555555555555</v>
      </c>
      <c r="C36" s="108">
        <v>0.96278767677997079</v>
      </c>
      <c r="D36" s="109">
        <f t="shared" si="9"/>
        <v>2.3993065209200033E-2</v>
      </c>
      <c r="E36" s="110">
        <f t="shared" si="10"/>
        <v>2.445380788744507E-2</v>
      </c>
    </row>
    <row r="37" spans="2:5">
      <c r="B37" s="107">
        <v>2</v>
      </c>
      <c r="C37" s="108">
        <v>0.95183111100371898</v>
      </c>
      <c r="D37" s="109">
        <f t="shared" si="9"/>
        <v>2.468383216832664E-2</v>
      </c>
      <c r="E37" s="110">
        <f t="shared" si="10"/>
        <v>2.5303275150087456E-2</v>
      </c>
    </row>
    <row r="38" spans="2:5">
      <c r="B38" s="107">
        <v>2.5</v>
      </c>
      <c r="C38" s="108">
        <v>0.93833644309892206</v>
      </c>
      <c r="D38" s="109">
        <f t="shared" si="9"/>
        <v>2.54586851778212E-2</v>
      </c>
      <c r="E38" s="110">
        <f t="shared" si="10"/>
        <v>2.6286331455881485E-2</v>
      </c>
    </row>
    <row r="39" spans="2:5">
      <c r="B39" s="107">
        <v>3</v>
      </c>
      <c r="C39" s="108">
        <v>0.92499980930372927</v>
      </c>
      <c r="D39" s="109">
        <f t="shared" si="9"/>
        <v>2.5987249209287879E-2</v>
      </c>
      <c r="E39" s="110">
        <f t="shared" si="10"/>
        <v>2.7027101318260582E-2</v>
      </c>
    </row>
    <row r="40" spans="2:5">
      <c r="B40" s="107">
        <v>3.5</v>
      </c>
      <c r="C40" s="108">
        <v>0.91180301580734047</v>
      </c>
      <c r="D40" s="109">
        <f t="shared" si="9"/>
        <v>2.6380372479038756E-2</v>
      </c>
      <c r="E40" s="110">
        <f t="shared" si="10"/>
        <v>2.7636603415319642E-2</v>
      </c>
    </row>
    <row r="41" spans="2:5">
      <c r="B41" s="107">
        <v>4</v>
      </c>
      <c r="C41" s="108">
        <v>0.89876449384978674</v>
      </c>
      <c r="D41" s="109">
        <f t="shared" si="9"/>
        <v>2.6683560850303132E-2</v>
      </c>
      <c r="E41" s="110">
        <f t="shared" si="10"/>
        <v>2.8159631038766064E-2</v>
      </c>
    </row>
    <row r="42" spans="2:5">
      <c r="B42" s="107">
        <v>4.5</v>
      </c>
      <c r="C42" s="108">
        <v>0.88571864072706119</v>
      </c>
      <c r="D42" s="109">
        <f t="shared" si="9"/>
        <v>2.6967986681432844E-2</v>
      </c>
      <c r="E42" s="110">
        <f t="shared" si="10"/>
        <v>2.8672601488167724E-2</v>
      </c>
    </row>
    <row r="43" spans="2:5">
      <c r="B43" s="107">
        <v>5</v>
      </c>
      <c r="C43" s="108">
        <v>0.87283327739139105</v>
      </c>
      <c r="D43" s="109">
        <f t="shared" si="9"/>
        <v>2.7202143604611921E-2</v>
      </c>
      <c r="E43" s="110">
        <f t="shared" si="10"/>
        <v>2.9138834621124453E-2</v>
      </c>
    </row>
    <row r="44" spans="2:5">
      <c r="B44" s="107">
        <v>5.5</v>
      </c>
      <c r="C44" s="108">
        <v>0.85999733586210236</v>
      </c>
      <c r="D44" s="109">
        <f t="shared" si="9"/>
        <v>2.7422906831663027E-2</v>
      </c>
      <c r="E44" s="110">
        <f t="shared" si="10"/>
        <v>2.9598963603459059E-2</v>
      </c>
    </row>
    <row r="45" spans="2:5">
      <c r="B45" s="107">
        <v>6</v>
      </c>
      <c r="C45" s="108">
        <v>0.84732340019502839</v>
      </c>
      <c r="D45" s="109">
        <f t="shared" si="9"/>
        <v>2.7612139798684557E-2</v>
      </c>
      <c r="E45" s="110">
        <f t="shared" si="10"/>
        <v>3.0031154529236808E-2</v>
      </c>
    </row>
    <row r="46" spans="2:5">
      <c r="B46" s="107">
        <v>6.5</v>
      </c>
      <c r="C46" s="108">
        <v>0.83456456645188992</v>
      </c>
      <c r="D46" s="109">
        <f t="shared" si="9"/>
        <v>2.7822333453997643E-2</v>
      </c>
      <c r="E46" s="110">
        <f t="shared" si="10"/>
        <v>3.04968676892837E-2</v>
      </c>
    </row>
    <row r="47" spans="2:5">
      <c r="B47" s="107">
        <v>7</v>
      </c>
      <c r="C47" s="108">
        <v>0.82197115819051136</v>
      </c>
      <c r="D47" s="109">
        <f t="shared" si="9"/>
        <v>2.8007138843001163E-2</v>
      </c>
      <c r="E47" s="110">
        <f t="shared" si="10"/>
        <v>3.0941099859339793E-2</v>
      </c>
    </row>
    <row r="48" spans="2:5">
      <c r="B48" s="107">
        <v>7.5</v>
      </c>
      <c r="C48" s="108">
        <v>0.80950188964935144</v>
      </c>
      <c r="D48" s="109">
        <f t="shared" si="9"/>
        <v>2.8178156203438196E-2</v>
      </c>
      <c r="E48" s="110">
        <f t="shared" si="10"/>
        <v>3.137700896258E-2</v>
      </c>
    </row>
    <row r="49" spans="2:8">
      <c r="B49" s="107">
        <v>8</v>
      </c>
      <c r="C49" s="108">
        <v>0.79719862624204352</v>
      </c>
      <c r="D49" s="109">
        <f t="shared" si="9"/>
        <v>2.8331426734216045E-2</v>
      </c>
      <c r="E49" s="110">
        <f t="shared" si="10"/>
        <v>3.1799065985906261E-2</v>
      </c>
    </row>
    <row r="50" spans="2:8">
      <c r="B50" s="107">
        <v>8.5</v>
      </c>
      <c r="C50" s="108">
        <v>0.78494910147691443</v>
      </c>
      <c r="D50" s="109">
        <f t="shared" si="9"/>
        <v>2.8486635551149577E-2</v>
      </c>
      <c r="E50" s="110">
        <f t="shared" si="10"/>
        <v>3.2231523879695002E-2</v>
      </c>
    </row>
    <row r="51" spans="2:8">
      <c r="B51" s="107">
        <v>9</v>
      </c>
      <c r="C51" s="108">
        <v>0.77286717546848671</v>
      </c>
      <c r="D51" s="109">
        <f t="shared" si="9"/>
        <v>2.8627563898167323E-2</v>
      </c>
      <c r="E51" s="110">
        <f t="shared" si="10"/>
        <v>3.2653709854094465E-2</v>
      </c>
    </row>
    <row r="52" spans="2:8">
      <c r="B52" s="107">
        <v>9.5</v>
      </c>
      <c r="C52" s="108">
        <v>0.76070467500074535</v>
      </c>
      <c r="D52" s="109">
        <f t="shared" si="9"/>
        <v>2.8790533825417765E-2</v>
      </c>
      <c r="E52" s="110">
        <f t="shared" si="10"/>
        <v>3.3112694593133964E-2</v>
      </c>
    </row>
    <row r="53" spans="2:8" ht="13.15" thickBot="1">
      <c r="B53" s="111">
        <v>10</v>
      </c>
      <c r="C53" s="112">
        <v>0.74871333085275682</v>
      </c>
      <c r="D53" s="113">
        <f t="shared" si="9"/>
        <v>2.8939910457109107E-2</v>
      </c>
      <c r="E53" s="114">
        <f t="shared" si="10"/>
        <v>3.3562467608401869E-2</v>
      </c>
      <c r="H53" s="115"/>
    </row>
    <row r="54" spans="2:8">
      <c r="B54" s="116"/>
      <c r="C54" s="108"/>
      <c r="D54" s="109"/>
      <c r="E54" s="109"/>
    </row>
    <row r="55" spans="2:8">
      <c r="B55" s="116"/>
      <c r="C55" s="108"/>
      <c r="D55" s="109"/>
      <c r="E55" s="109"/>
      <c r="H55" s="117"/>
    </row>
    <row r="56" spans="2:8">
      <c r="B56" s="116"/>
      <c r="C56" s="108"/>
      <c r="D56" s="109"/>
      <c r="E56" s="109"/>
    </row>
    <row r="57" spans="2:8">
      <c r="B57" s="116"/>
      <c r="C57" s="108"/>
      <c r="D57" s="109"/>
      <c r="E57" s="109"/>
    </row>
    <row r="58" spans="2:8">
      <c r="B58" s="116"/>
      <c r="C58" s="108"/>
      <c r="D58" s="109"/>
      <c r="E58" s="109"/>
    </row>
    <row r="59" spans="2:8">
      <c r="B59" s="116"/>
      <c r="C59" s="108"/>
      <c r="D59" s="109"/>
      <c r="E59" s="109"/>
    </row>
    <row r="60" spans="2:8">
      <c r="B60" s="116"/>
      <c r="C60" s="108"/>
      <c r="D60" s="109"/>
      <c r="E60" s="109"/>
    </row>
    <row r="61" spans="2:8">
      <c r="B61" s="116"/>
      <c r="C61" s="108"/>
      <c r="D61" s="109"/>
      <c r="E61" s="109"/>
    </row>
    <row r="62" spans="2:8">
      <c r="B62" s="116"/>
      <c r="C62" s="108"/>
      <c r="D62" s="109"/>
      <c r="E62" s="109"/>
    </row>
    <row r="63" spans="2:8">
      <c r="B63" s="116"/>
      <c r="C63" s="108"/>
      <c r="D63" s="109"/>
      <c r="E63" s="109"/>
    </row>
    <row r="64" spans="2:8">
      <c r="B64" s="83"/>
    </row>
    <row r="67" spans="2:37">
      <c r="B67" s="83"/>
      <c r="C67" s="82"/>
      <c r="D67" s="118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DiscountCurve">
                <anchor moveWithCells="1" sizeWithCells="1">
                  <from>
                    <xdr:col>4</xdr:col>
                    <xdr:colOff>104775</xdr:colOff>
                    <xdr:row>19</xdr:row>
                    <xdr:rowOff>85725</xdr:rowOff>
                  </from>
                  <to>
                    <xdr:col>5</xdr:col>
                    <xdr:colOff>571500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A514E-6697-4A91-948E-CFC33E7B07F1}">
  <sheetPr codeName="Sheet23">
    <tabColor rgb="FF00B0F0"/>
  </sheetPr>
  <dimension ref="B2:G1767"/>
  <sheetViews>
    <sheetView topLeftCell="A2" zoomScale="80" zoomScaleNormal="80" workbookViewId="0">
      <selection activeCell="B2" sqref="B2"/>
    </sheetView>
  </sheetViews>
  <sheetFormatPr defaultColWidth="8.53125" defaultRowHeight="14.25"/>
  <cols>
    <col min="1" max="1" width="3.19921875" customWidth="1"/>
    <col min="2" max="2" width="22.59765625" customWidth="1"/>
    <col min="3" max="3" width="14.33203125" customWidth="1"/>
    <col min="4" max="4" width="10.06640625" bestFit="1" customWidth="1"/>
    <col min="6" max="6" width="9.3984375" bestFit="1" customWidth="1"/>
  </cols>
  <sheetData>
    <row r="2" spans="2:7">
      <c r="B2" s="30" t="s">
        <v>78</v>
      </c>
      <c r="C2" s="30" t="s">
        <v>79</v>
      </c>
      <c r="D2" s="30"/>
      <c r="E2" s="30"/>
      <c r="F2" s="30"/>
    </row>
    <row r="3" spans="2:7">
      <c r="B3" s="30" t="s">
        <v>80</v>
      </c>
      <c r="C3" s="30" t="s">
        <v>81</v>
      </c>
      <c r="D3" s="119" t="s">
        <v>56</v>
      </c>
      <c r="E3" s="30"/>
      <c r="F3" s="119" t="s">
        <v>82</v>
      </c>
    </row>
    <row r="4" spans="2:7">
      <c r="B4" s="120">
        <v>40547</v>
      </c>
      <c r="C4" s="121">
        <v>0.30281000000000002</v>
      </c>
      <c r="D4" s="68"/>
      <c r="E4" s="30"/>
      <c r="F4" s="119"/>
    </row>
    <row r="5" spans="2:7">
      <c r="B5" s="120">
        <v>40548</v>
      </c>
      <c r="C5" s="121">
        <v>0.30281000000000002</v>
      </c>
      <c r="D5" s="68">
        <f>C4-C5</f>
        <v>0</v>
      </c>
      <c r="E5" s="30"/>
      <c r="F5" s="62">
        <f>-SLOPE(D5:D253,C5:C253)</f>
        <v>1.4513285337643091E-2</v>
      </c>
      <c r="G5" s="62"/>
    </row>
    <row r="6" spans="2:7">
      <c r="B6" s="120">
        <v>40549</v>
      </c>
      <c r="C6" s="121">
        <v>0.30313000000000001</v>
      </c>
      <c r="D6" s="68">
        <f t="shared" ref="D6:D69" si="0">C5-C6</f>
        <v>-3.1999999999998696E-4</v>
      </c>
      <c r="E6" s="30"/>
      <c r="F6" s="30"/>
    </row>
    <row r="7" spans="2:7">
      <c r="B7" s="120">
        <v>40550</v>
      </c>
      <c r="C7" s="121">
        <v>0.30313000000000001</v>
      </c>
      <c r="D7" s="68">
        <f t="shared" si="0"/>
        <v>0</v>
      </c>
      <c r="E7" s="30"/>
      <c r="F7" s="30"/>
    </row>
    <row r="8" spans="2:7">
      <c r="B8" s="120">
        <v>40553</v>
      </c>
      <c r="C8" s="121">
        <v>0.30313000000000001</v>
      </c>
      <c r="D8" s="68">
        <f t="shared" si="0"/>
        <v>0</v>
      </c>
      <c r="E8" s="30"/>
      <c r="F8" s="30"/>
    </row>
    <row r="9" spans="2:7">
      <c r="B9" s="120">
        <v>40554</v>
      </c>
      <c r="C9" s="121">
        <v>0.30313000000000001</v>
      </c>
      <c r="D9" s="68">
        <f t="shared" si="0"/>
        <v>0</v>
      </c>
      <c r="E9" s="30"/>
      <c r="F9" s="30"/>
    </row>
    <row r="10" spans="2:7">
      <c r="B10" s="120">
        <v>40555</v>
      </c>
      <c r="C10" s="121">
        <v>0.30313000000000001</v>
      </c>
      <c r="D10" s="68">
        <f t="shared" si="0"/>
        <v>0</v>
      </c>
      <c r="E10" s="30"/>
      <c r="F10" s="30"/>
    </row>
    <row r="11" spans="2:7">
      <c r="B11" s="120">
        <v>40556</v>
      </c>
      <c r="C11" s="121">
        <v>0.30313000000000001</v>
      </c>
      <c r="D11" s="68">
        <f t="shared" si="0"/>
        <v>0</v>
      </c>
      <c r="E11" s="30"/>
      <c r="F11" s="30"/>
    </row>
    <row r="12" spans="2:7">
      <c r="B12" s="120">
        <v>40557</v>
      </c>
      <c r="C12" s="121">
        <v>0.30313000000000001</v>
      </c>
      <c r="D12" s="68">
        <f t="shared" si="0"/>
        <v>0</v>
      </c>
      <c r="E12" s="30"/>
      <c r="F12" s="30"/>
    </row>
    <row r="13" spans="2:7">
      <c r="B13" s="120">
        <v>40560</v>
      </c>
      <c r="C13" s="121">
        <v>0.30313000000000001</v>
      </c>
      <c r="D13" s="68">
        <f t="shared" si="0"/>
        <v>0</v>
      </c>
      <c r="E13" s="30"/>
      <c r="F13" s="30"/>
    </row>
    <row r="14" spans="2:7">
      <c r="B14" s="120">
        <v>40561</v>
      </c>
      <c r="C14" s="121">
        <v>0.30313000000000001</v>
      </c>
      <c r="D14" s="68">
        <f t="shared" si="0"/>
        <v>0</v>
      </c>
      <c r="E14" s="30"/>
      <c r="F14" s="30"/>
    </row>
    <row r="15" spans="2:7">
      <c r="B15" s="120">
        <v>40562</v>
      </c>
      <c r="C15" s="121">
        <v>0.30313000000000001</v>
      </c>
      <c r="D15" s="68">
        <f t="shared" si="0"/>
        <v>0</v>
      </c>
      <c r="E15" s="30"/>
      <c r="F15" s="30"/>
    </row>
    <row r="16" spans="2:7">
      <c r="B16" s="120">
        <v>40563</v>
      </c>
      <c r="C16" s="121">
        <v>0.30313000000000001</v>
      </c>
      <c r="D16" s="68">
        <f t="shared" si="0"/>
        <v>0</v>
      </c>
      <c r="E16" s="30"/>
      <c r="F16" s="30"/>
    </row>
    <row r="17" spans="2:6">
      <c r="B17" s="120">
        <v>40564</v>
      </c>
      <c r="C17" s="121">
        <v>0.30313000000000001</v>
      </c>
      <c r="D17" s="68">
        <f t="shared" si="0"/>
        <v>0</v>
      </c>
      <c r="E17" s="30"/>
      <c r="F17" s="30"/>
    </row>
    <row r="18" spans="2:6">
      <c r="B18" s="120">
        <v>40567</v>
      </c>
      <c r="C18" s="121">
        <v>0.30313000000000001</v>
      </c>
      <c r="D18" s="68">
        <f t="shared" si="0"/>
        <v>0</v>
      </c>
      <c r="E18" s="30"/>
      <c r="F18" s="30"/>
    </row>
    <row r="19" spans="2:6">
      <c r="B19" s="120">
        <v>40568</v>
      </c>
      <c r="C19" s="121">
        <v>0.30437999999999998</v>
      </c>
      <c r="D19" s="68">
        <f t="shared" si="0"/>
        <v>-1.2499999999999734E-3</v>
      </c>
      <c r="E19" s="30"/>
      <c r="F19" s="30"/>
    </row>
    <row r="20" spans="2:6">
      <c r="B20" s="120">
        <v>40569</v>
      </c>
      <c r="C20" s="121">
        <v>0.30437999999999998</v>
      </c>
      <c r="D20" s="68">
        <f t="shared" si="0"/>
        <v>0</v>
      </c>
      <c r="E20" s="30"/>
      <c r="F20" s="30"/>
    </row>
    <row r="21" spans="2:6">
      <c r="B21" s="120">
        <v>40570</v>
      </c>
      <c r="C21" s="121">
        <v>0.30437999999999998</v>
      </c>
      <c r="D21" s="68">
        <f t="shared" si="0"/>
        <v>0</v>
      </c>
      <c r="E21" s="30"/>
      <c r="F21" s="30"/>
    </row>
    <row r="22" spans="2:6">
      <c r="B22" s="120">
        <v>40571</v>
      </c>
      <c r="C22" s="121">
        <v>0.30437999999999998</v>
      </c>
      <c r="D22" s="68">
        <f t="shared" si="0"/>
        <v>0</v>
      </c>
      <c r="E22" s="30"/>
      <c r="F22" s="30"/>
    </row>
    <row r="23" spans="2:6">
      <c r="B23" s="120">
        <v>40574</v>
      </c>
      <c r="C23" s="121">
        <v>0.30437999999999998</v>
      </c>
      <c r="D23" s="68">
        <f t="shared" si="0"/>
        <v>0</v>
      </c>
      <c r="E23" s="30"/>
      <c r="F23" s="30"/>
    </row>
    <row r="24" spans="2:6">
      <c r="B24" s="120">
        <v>40575</v>
      </c>
      <c r="C24" s="121">
        <v>0.3105</v>
      </c>
      <c r="D24" s="68">
        <f t="shared" si="0"/>
        <v>-6.1200000000000143E-3</v>
      </c>
      <c r="E24" s="30"/>
      <c r="F24" s="30"/>
    </row>
    <row r="25" spans="2:6">
      <c r="B25" s="120">
        <v>40576</v>
      </c>
      <c r="C25" s="121">
        <v>0.3105</v>
      </c>
      <c r="D25" s="68">
        <f t="shared" si="0"/>
        <v>0</v>
      </c>
      <c r="E25" s="30"/>
      <c r="F25" s="30"/>
    </row>
    <row r="26" spans="2:6">
      <c r="B26" s="120">
        <v>40577</v>
      </c>
      <c r="C26" s="121">
        <v>0.3105</v>
      </c>
      <c r="D26" s="68">
        <f t="shared" si="0"/>
        <v>0</v>
      </c>
      <c r="E26" s="30"/>
      <c r="F26" s="30"/>
    </row>
    <row r="27" spans="2:6">
      <c r="B27" s="120">
        <v>40578</v>
      </c>
      <c r="C27" s="121">
        <v>0.3115</v>
      </c>
      <c r="D27" s="68">
        <f t="shared" si="0"/>
        <v>-1.0000000000000009E-3</v>
      </c>
      <c r="E27" s="30"/>
      <c r="F27" s="30"/>
    </row>
    <row r="28" spans="2:6">
      <c r="B28" s="120">
        <v>40581</v>
      </c>
      <c r="C28" s="121">
        <v>0.312</v>
      </c>
      <c r="D28" s="68">
        <f t="shared" si="0"/>
        <v>-5.0000000000000044E-4</v>
      </c>
      <c r="E28" s="30"/>
      <c r="F28" s="30"/>
    </row>
    <row r="29" spans="2:6">
      <c r="B29" s="120">
        <v>40582</v>
      </c>
      <c r="C29" s="121">
        <v>0.312</v>
      </c>
      <c r="D29" s="68">
        <f t="shared" si="0"/>
        <v>0</v>
      </c>
      <c r="E29" s="30"/>
      <c r="F29" s="30"/>
    </row>
    <row r="30" spans="2:6">
      <c r="B30" s="120">
        <v>40583</v>
      </c>
      <c r="C30" s="121">
        <v>0.312</v>
      </c>
      <c r="D30" s="68">
        <f t="shared" si="0"/>
        <v>0</v>
      </c>
      <c r="E30" s="30"/>
      <c r="F30" s="30"/>
    </row>
    <row r="31" spans="2:6">
      <c r="B31" s="120">
        <v>40584</v>
      </c>
      <c r="C31" s="121">
        <v>0.312</v>
      </c>
      <c r="D31" s="68">
        <f t="shared" si="0"/>
        <v>0</v>
      </c>
      <c r="E31" s="30"/>
      <c r="F31" s="30"/>
    </row>
    <row r="32" spans="2:6">
      <c r="B32" s="120">
        <v>40585</v>
      </c>
      <c r="C32" s="121">
        <v>0.313</v>
      </c>
      <c r="D32" s="68">
        <f t="shared" si="0"/>
        <v>-1.0000000000000009E-3</v>
      </c>
      <c r="E32" s="30"/>
      <c r="F32" s="30"/>
    </row>
    <row r="33" spans="2:6">
      <c r="B33" s="120">
        <v>40588</v>
      </c>
      <c r="C33" s="121">
        <v>0.314</v>
      </c>
      <c r="D33" s="68">
        <f t="shared" si="0"/>
        <v>-1.0000000000000009E-3</v>
      </c>
      <c r="E33" s="30"/>
      <c r="F33" s="30"/>
    </row>
    <row r="34" spans="2:6">
      <c r="B34" s="120">
        <v>40589</v>
      </c>
      <c r="C34" s="121">
        <v>0.3135</v>
      </c>
      <c r="D34" s="68">
        <f t="shared" si="0"/>
        <v>5.0000000000000044E-4</v>
      </c>
      <c r="E34" s="30"/>
      <c r="F34" s="30"/>
    </row>
    <row r="35" spans="2:6">
      <c r="B35" s="120">
        <v>40590</v>
      </c>
      <c r="C35" s="121">
        <v>0.3135</v>
      </c>
      <c r="D35" s="68">
        <f t="shared" si="0"/>
        <v>0</v>
      </c>
      <c r="E35" s="30"/>
      <c r="F35" s="30"/>
    </row>
    <row r="36" spans="2:6">
      <c r="B36" s="120">
        <v>40591</v>
      </c>
      <c r="C36" s="121">
        <v>0.3135</v>
      </c>
      <c r="D36" s="68">
        <f t="shared" si="0"/>
        <v>0</v>
      </c>
      <c r="E36" s="30"/>
      <c r="F36" s="30"/>
    </row>
    <row r="37" spans="2:6">
      <c r="B37" s="120">
        <v>40592</v>
      </c>
      <c r="C37" s="121">
        <v>0.3125</v>
      </c>
      <c r="D37" s="68">
        <f t="shared" si="0"/>
        <v>1.0000000000000009E-3</v>
      </c>
      <c r="E37" s="30"/>
      <c r="F37" s="30"/>
    </row>
    <row r="38" spans="2:6">
      <c r="B38" s="120">
        <v>40595</v>
      </c>
      <c r="C38" s="121">
        <v>0.3125</v>
      </c>
      <c r="D38" s="68">
        <f t="shared" si="0"/>
        <v>0</v>
      </c>
      <c r="E38" s="30"/>
      <c r="F38" s="30"/>
    </row>
    <row r="39" spans="2:6">
      <c r="B39" s="120">
        <v>40596</v>
      </c>
      <c r="C39" s="121">
        <v>0.3125</v>
      </c>
      <c r="D39" s="68">
        <f t="shared" si="0"/>
        <v>0</v>
      </c>
      <c r="E39" s="30"/>
      <c r="F39" s="30"/>
    </row>
    <row r="40" spans="2:6">
      <c r="B40" s="120">
        <v>40597</v>
      </c>
      <c r="C40" s="121">
        <v>0.3115</v>
      </c>
      <c r="D40" s="68">
        <f t="shared" si="0"/>
        <v>1.0000000000000009E-3</v>
      </c>
      <c r="E40" s="30"/>
      <c r="F40" s="30"/>
    </row>
    <row r="41" spans="2:6">
      <c r="B41" s="120">
        <v>40598</v>
      </c>
      <c r="C41" s="121">
        <v>0.3105</v>
      </c>
      <c r="D41" s="68">
        <f t="shared" si="0"/>
        <v>1.0000000000000009E-3</v>
      </c>
      <c r="E41" s="30"/>
      <c r="F41" s="30"/>
    </row>
    <row r="42" spans="2:6">
      <c r="B42" s="120">
        <v>40599</v>
      </c>
      <c r="C42" s="121">
        <v>0.3105</v>
      </c>
      <c r="D42" s="68">
        <f t="shared" si="0"/>
        <v>0</v>
      </c>
      <c r="E42" s="30"/>
      <c r="F42" s="30"/>
    </row>
    <row r="43" spans="2:6">
      <c r="B43" s="120">
        <v>40602</v>
      </c>
      <c r="C43" s="121">
        <v>0.3095</v>
      </c>
      <c r="D43" s="68">
        <f t="shared" si="0"/>
        <v>1.0000000000000009E-3</v>
      </c>
      <c r="E43" s="30"/>
      <c r="F43" s="30"/>
    </row>
    <row r="44" spans="2:6">
      <c r="B44" s="120">
        <v>40603</v>
      </c>
      <c r="C44" s="121">
        <v>0.3095</v>
      </c>
      <c r="D44" s="68">
        <f t="shared" si="0"/>
        <v>0</v>
      </c>
      <c r="E44" s="30"/>
      <c r="F44" s="30"/>
    </row>
    <row r="45" spans="2:6">
      <c r="B45" s="120">
        <v>40604</v>
      </c>
      <c r="C45" s="121">
        <v>0.3095</v>
      </c>
      <c r="D45" s="68">
        <f t="shared" si="0"/>
        <v>0</v>
      </c>
      <c r="E45" s="30"/>
      <c r="F45" s="30"/>
    </row>
    <row r="46" spans="2:6">
      <c r="B46" s="120">
        <v>40605</v>
      </c>
      <c r="C46" s="121">
        <v>0.3095</v>
      </c>
      <c r="D46" s="68">
        <f t="shared" si="0"/>
        <v>0</v>
      </c>
      <c r="E46" s="30"/>
      <c r="F46" s="30"/>
    </row>
    <row r="47" spans="2:6">
      <c r="B47" s="120">
        <v>40606</v>
      </c>
      <c r="C47" s="121">
        <v>0.3095</v>
      </c>
      <c r="D47" s="68">
        <f t="shared" si="0"/>
        <v>0</v>
      </c>
      <c r="E47" s="30"/>
      <c r="F47" s="30"/>
    </row>
    <row r="48" spans="2:6">
      <c r="B48" s="120">
        <v>40609</v>
      </c>
      <c r="C48" s="121">
        <v>0.3095</v>
      </c>
      <c r="D48" s="68">
        <f t="shared" si="0"/>
        <v>0</v>
      </c>
      <c r="E48" s="30"/>
      <c r="F48" s="30"/>
    </row>
    <row r="49" spans="2:6">
      <c r="B49" s="120">
        <v>40610</v>
      </c>
      <c r="C49" s="121">
        <v>0.3095</v>
      </c>
      <c r="D49" s="68">
        <f t="shared" si="0"/>
        <v>0</v>
      </c>
      <c r="E49" s="30"/>
      <c r="F49" s="30"/>
    </row>
    <row r="50" spans="2:6">
      <c r="B50" s="120">
        <v>40611</v>
      </c>
      <c r="C50" s="121">
        <v>0.3095</v>
      </c>
      <c r="D50" s="68">
        <f t="shared" si="0"/>
        <v>0</v>
      </c>
      <c r="E50" s="30"/>
      <c r="F50" s="30"/>
    </row>
    <row r="51" spans="2:6">
      <c r="B51" s="120">
        <v>40612</v>
      </c>
      <c r="C51" s="121">
        <v>0.3095</v>
      </c>
      <c r="D51" s="68">
        <f t="shared" si="0"/>
        <v>0</v>
      </c>
      <c r="E51" s="30"/>
      <c r="F51" s="30"/>
    </row>
    <row r="52" spans="2:6">
      <c r="B52" s="120">
        <v>40613</v>
      </c>
      <c r="C52" s="121">
        <v>0.3095</v>
      </c>
      <c r="D52" s="68">
        <f t="shared" si="0"/>
        <v>0</v>
      </c>
      <c r="E52" s="30"/>
      <c r="F52" s="30"/>
    </row>
    <row r="53" spans="2:6">
      <c r="B53" s="120">
        <v>40616</v>
      </c>
      <c r="C53" s="121">
        <v>0.309</v>
      </c>
      <c r="D53" s="68">
        <f t="shared" si="0"/>
        <v>5.0000000000000044E-4</v>
      </c>
      <c r="E53" s="30"/>
      <c r="F53" s="30"/>
    </row>
    <row r="54" spans="2:6">
      <c r="B54" s="120">
        <v>40617</v>
      </c>
      <c r="C54" s="121">
        <v>0.309</v>
      </c>
      <c r="D54" s="68">
        <f t="shared" si="0"/>
        <v>0</v>
      </c>
      <c r="E54" s="30"/>
      <c r="F54" s="30"/>
    </row>
    <row r="55" spans="2:6">
      <c r="B55" s="120">
        <v>40618</v>
      </c>
      <c r="C55" s="121">
        <v>0.309</v>
      </c>
      <c r="D55" s="68">
        <f t="shared" si="0"/>
        <v>0</v>
      </c>
      <c r="E55" s="30"/>
      <c r="F55" s="30"/>
    </row>
    <row r="56" spans="2:6">
      <c r="B56" s="120">
        <v>40619</v>
      </c>
      <c r="C56" s="121">
        <v>0.309</v>
      </c>
      <c r="D56" s="68">
        <f t="shared" si="0"/>
        <v>0</v>
      </c>
      <c r="E56" s="30"/>
      <c r="F56" s="30"/>
    </row>
    <row r="57" spans="2:6">
      <c r="B57" s="120">
        <v>40620</v>
      </c>
      <c r="C57" s="121">
        <v>0.309</v>
      </c>
      <c r="D57" s="68">
        <f t="shared" si="0"/>
        <v>0</v>
      </c>
      <c r="E57" s="30"/>
      <c r="F57" s="30"/>
    </row>
    <row r="58" spans="2:6">
      <c r="B58" s="120">
        <v>40623</v>
      </c>
      <c r="C58" s="121">
        <v>0.309</v>
      </c>
      <c r="D58" s="68">
        <f t="shared" si="0"/>
        <v>0</v>
      </c>
      <c r="E58" s="30"/>
      <c r="F58" s="30"/>
    </row>
    <row r="59" spans="2:6">
      <c r="B59" s="120">
        <v>40624</v>
      </c>
      <c r="C59" s="121">
        <v>0.309</v>
      </c>
      <c r="D59" s="68">
        <f t="shared" si="0"/>
        <v>0</v>
      </c>
      <c r="E59" s="30"/>
      <c r="F59" s="30"/>
    </row>
    <row r="60" spans="2:6">
      <c r="B60" s="120">
        <v>40625</v>
      </c>
      <c r="C60" s="121">
        <v>0.308</v>
      </c>
      <c r="D60" s="68">
        <f t="shared" si="0"/>
        <v>1.0000000000000009E-3</v>
      </c>
      <c r="E60" s="30"/>
      <c r="F60" s="30"/>
    </row>
    <row r="61" spans="2:6">
      <c r="B61" s="120">
        <v>40626</v>
      </c>
      <c r="C61" s="121">
        <v>0.3085</v>
      </c>
      <c r="D61" s="68">
        <f t="shared" si="0"/>
        <v>-5.0000000000000044E-4</v>
      </c>
      <c r="E61" s="30"/>
      <c r="F61" s="30"/>
    </row>
    <row r="62" spans="2:6">
      <c r="B62" s="120">
        <v>40627</v>
      </c>
      <c r="C62" s="121">
        <v>0.3075</v>
      </c>
      <c r="D62" s="68">
        <f t="shared" si="0"/>
        <v>1.0000000000000009E-3</v>
      </c>
      <c r="E62" s="30"/>
      <c r="F62" s="30"/>
    </row>
    <row r="63" spans="2:6">
      <c r="B63" s="120">
        <v>40630</v>
      </c>
      <c r="C63" s="121">
        <v>0.307</v>
      </c>
      <c r="D63" s="68">
        <f t="shared" si="0"/>
        <v>5.0000000000000044E-4</v>
      </c>
      <c r="E63" s="30"/>
      <c r="F63" s="30"/>
    </row>
    <row r="64" spans="2:6">
      <c r="B64" s="120">
        <v>40631</v>
      </c>
      <c r="C64" s="121">
        <v>0.307</v>
      </c>
      <c r="D64" s="68">
        <f t="shared" si="0"/>
        <v>0</v>
      </c>
      <c r="E64" s="30"/>
      <c r="F64" s="30"/>
    </row>
    <row r="65" spans="2:6">
      <c r="B65" s="120">
        <v>40632</v>
      </c>
      <c r="C65" s="121">
        <v>0.30449999999999999</v>
      </c>
      <c r="D65" s="68">
        <f t="shared" si="0"/>
        <v>2.5000000000000022E-3</v>
      </c>
      <c r="E65" s="30"/>
      <c r="F65" s="30"/>
    </row>
    <row r="66" spans="2:6">
      <c r="B66" s="120">
        <v>40633</v>
      </c>
      <c r="C66" s="121">
        <v>0.30299999999999999</v>
      </c>
      <c r="D66" s="68">
        <f t="shared" si="0"/>
        <v>1.5000000000000013E-3</v>
      </c>
      <c r="E66" s="30"/>
      <c r="F66" s="30"/>
    </row>
    <row r="67" spans="2:6">
      <c r="B67" s="120">
        <v>40634</v>
      </c>
      <c r="C67" s="121">
        <v>0.30099999999999999</v>
      </c>
      <c r="D67" s="68">
        <f t="shared" si="0"/>
        <v>2.0000000000000018E-3</v>
      </c>
      <c r="E67" s="30"/>
      <c r="F67" s="30"/>
    </row>
    <row r="68" spans="2:6">
      <c r="B68" s="120">
        <v>40637</v>
      </c>
      <c r="C68" s="121">
        <v>0.29675000000000001</v>
      </c>
      <c r="D68" s="68">
        <f t="shared" si="0"/>
        <v>4.249999999999976E-3</v>
      </c>
      <c r="E68" s="30"/>
      <c r="F68" s="30"/>
    </row>
    <row r="69" spans="2:6">
      <c r="B69" s="120">
        <v>40638</v>
      </c>
      <c r="C69" s="121">
        <v>0.29375000000000001</v>
      </c>
      <c r="D69" s="68">
        <f t="shared" si="0"/>
        <v>3.0000000000000027E-3</v>
      </c>
      <c r="E69" s="30"/>
      <c r="F69" s="30"/>
    </row>
    <row r="70" spans="2:6">
      <c r="B70" s="120">
        <v>40639</v>
      </c>
      <c r="C70" s="121">
        <v>0.29263</v>
      </c>
      <c r="D70" s="68">
        <f t="shared" ref="D70:D133" si="1">C69-C70</f>
        <v>1.1200000000000099E-3</v>
      </c>
      <c r="E70" s="30"/>
      <c r="F70" s="30"/>
    </row>
    <row r="71" spans="2:6">
      <c r="B71" s="120">
        <v>40640</v>
      </c>
      <c r="C71" s="121">
        <v>0.28949999999999998</v>
      </c>
      <c r="D71" s="68">
        <f t="shared" si="1"/>
        <v>3.1300000000000217E-3</v>
      </c>
      <c r="E71" s="30"/>
      <c r="F71" s="30"/>
    </row>
    <row r="72" spans="2:6">
      <c r="B72" s="120">
        <v>40641</v>
      </c>
      <c r="C72" s="121">
        <v>0.28525</v>
      </c>
      <c r="D72" s="68">
        <f t="shared" si="1"/>
        <v>4.249999999999976E-3</v>
      </c>
      <c r="E72" s="30"/>
      <c r="F72" s="30"/>
    </row>
    <row r="73" spans="2:6">
      <c r="B73" s="120">
        <v>40644</v>
      </c>
      <c r="C73" s="121">
        <v>0.28275</v>
      </c>
      <c r="D73" s="68">
        <f t="shared" si="1"/>
        <v>2.5000000000000022E-3</v>
      </c>
      <c r="E73" s="30"/>
      <c r="F73" s="30"/>
    </row>
    <row r="74" spans="2:6">
      <c r="B74" s="120">
        <v>40645</v>
      </c>
      <c r="C74" s="121">
        <v>0.28075</v>
      </c>
      <c r="D74" s="68">
        <f t="shared" si="1"/>
        <v>2.0000000000000018E-3</v>
      </c>
      <c r="E74" s="30"/>
      <c r="F74" s="30"/>
    </row>
    <row r="75" spans="2:6">
      <c r="B75" s="120">
        <v>40646</v>
      </c>
      <c r="C75" s="121">
        <v>0.27800000000000002</v>
      </c>
      <c r="D75" s="68">
        <f t="shared" si="1"/>
        <v>2.7499999999999747E-3</v>
      </c>
      <c r="E75" s="30"/>
      <c r="F75" s="30"/>
    </row>
    <row r="76" spans="2:6">
      <c r="B76" s="120">
        <v>40647</v>
      </c>
      <c r="C76" s="121">
        <v>0.27550000000000002</v>
      </c>
      <c r="D76" s="68">
        <f t="shared" si="1"/>
        <v>2.5000000000000022E-3</v>
      </c>
      <c r="E76" s="30"/>
      <c r="F76" s="30"/>
    </row>
    <row r="77" spans="2:6">
      <c r="B77" s="120">
        <v>40648</v>
      </c>
      <c r="C77" s="121">
        <v>0.27474999999999999</v>
      </c>
      <c r="D77" s="68">
        <f t="shared" si="1"/>
        <v>7.5000000000002842E-4</v>
      </c>
      <c r="E77" s="30"/>
      <c r="F77" s="30"/>
    </row>
    <row r="78" spans="2:6">
      <c r="B78" s="120">
        <v>40651</v>
      </c>
      <c r="C78" s="121">
        <v>0.27400000000000002</v>
      </c>
      <c r="D78" s="68">
        <f t="shared" si="1"/>
        <v>7.4999999999997291E-4</v>
      </c>
      <c r="E78" s="30"/>
      <c r="F78" s="30"/>
    </row>
    <row r="79" spans="2:6">
      <c r="B79" s="120">
        <v>40652</v>
      </c>
      <c r="C79" s="121">
        <v>0.27374999999999999</v>
      </c>
      <c r="D79" s="68">
        <f t="shared" si="1"/>
        <v>2.5000000000002798E-4</v>
      </c>
      <c r="E79" s="30"/>
      <c r="F79" s="30"/>
    </row>
    <row r="80" spans="2:6">
      <c r="B80" s="120">
        <v>40653</v>
      </c>
      <c r="C80" s="121">
        <v>0.27374999999999999</v>
      </c>
      <c r="D80" s="68">
        <f t="shared" si="1"/>
        <v>0</v>
      </c>
      <c r="E80" s="30"/>
      <c r="F80" s="30"/>
    </row>
    <row r="81" spans="2:6">
      <c r="B81" s="120">
        <v>40654</v>
      </c>
      <c r="C81" s="121">
        <v>0.27374999999999999</v>
      </c>
      <c r="D81" s="68">
        <f t="shared" si="1"/>
        <v>0</v>
      </c>
      <c r="E81" s="30"/>
      <c r="F81" s="30"/>
    </row>
    <row r="82" spans="2:6">
      <c r="B82" s="120">
        <v>40659</v>
      </c>
      <c r="C82" s="121">
        <v>0.27274999999999999</v>
      </c>
      <c r="D82" s="68">
        <f t="shared" si="1"/>
        <v>1.0000000000000009E-3</v>
      </c>
      <c r="E82" s="30"/>
      <c r="F82" s="30"/>
    </row>
    <row r="83" spans="2:6">
      <c r="B83" s="120">
        <v>40660</v>
      </c>
      <c r="C83" s="121">
        <v>0.27324999999999999</v>
      </c>
      <c r="D83" s="68">
        <f t="shared" si="1"/>
        <v>-5.0000000000000044E-4</v>
      </c>
      <c r="E83" s="30"/>
      <c r="F83" s="30"/>
    </row>
    <row r="84" spans="2:6">
      <c r="B84" s="120">
        <v>40661</v>
      </c>
      <c r="C84" s="121">
        <v>0.27300000000000002</v>
      </c>
      <c r="D84" s="68">
        <f t="shared" si="1"/>
        <v>2.4999999999997247E-4</v>
      </c>
      <c r="E84" s="30"/>
      <c r="F84" s="30"/>
    </row>
    <row r="85" spans="2:6">
      <c r="B85" s="120">
        <v>40666</v>
      </c>
      <c r="C85" s="121">
        <v>0.27224999999999999</v>
      </c>
      <c r="D85" s="68">
        <f t="shared" si="1"/>
        <v>7.5000000000002842E-4</v>
      </c>
      <c r="E85" s="30"/>
      <c r="F85" s="30"/>
    </row>
    <row r="86" spans="2:6">
      <c r="B86" s="120">
        <v>40667</v>
      </c>
      <c r="C86" s="121">
        <v>0.27024999999999999</v>
      </c>
      <c r="D86" s="68">
        <f t="shared" si="1"/>
        <v>2.0000000000000018E-3</v>
      </c>
      <c r="E86" s="30"/>
      <c r="F86" s="30"/>
    </row>
    <row r="87" spans="2:6">
      <c r="B87" s="120">
        <v>40668</v>
      </c>
      <c r="C87" s="121">
        <v>0.26824999999999999</v>
      </c>
      <c r="D87" s="68">
        <f t="shared" si="1"/>
        <v>2.0000000000000018E-3</v>
      </c>
      <c r="E87" s="30"/>
      <c r="F87" s="30"/>
    </row>
    <row r="88" spans="2:6">
      <c r="B88" s="120">
        <v>40669</v>
      </c>
      <c r="C88" s="121">
        <v>0.26700000000000002</v>
      </c>
      <c r="D88" s="68">
        <f t="shared" si="1"/>
        <v>1.2499999999999734E-3</v>
      </c>
      <c r="E88" s="30"/>
      <c r="F88" s="30"/>
    </row>
    <row r="89" spans="2:6">
      <c r="B89" s="120">
        <v>40672</v>
      </c>
      <c r="C89" s="121">
        <v>0.26574999999999999</v>
      </c>
      <c r="D89" s="68">
        <f t="shared" si="1"/>
        <v>1.2500000000000289E-3</v>
      </c>
      <c r="E89" s="30"/>
      <c r="F89" s="30"/>
    </row>
    <row r="90" spans="2:6">
      <c r="B90" s="120">
        <v>40673</v>
      </c>
      <c r="C90" s="121">
        <v>0.26400000000000001</v>
      </c>
      <c r="D90" s="68">
        <f t="shared" si="1"/>
        <v>1.7499999999999738E-3</v>
      </c>
      <c r="E90" s="30"/>
      <c r="F90" s="30"/>
    </row>
    <row r="91" spans="2:6">
      <c r="B91" s="120">
        <v>40674</v>
      </c>
      <c r="C91" s="121">
        <v>0.26224999999999998</v>
      </c>
      <c r="D91" s="68">
        <f t="shared" si="1"/>
        <v>1.7500000000000293E-3</v>
      </c>
      <c r="E91" s="30"/>
      <c r="F91" s="30"/>
    </row>
    <row r="92" spans="2:6">
      <c r="B92" s="120">
        <v>40675</v>
      </c>
      <c r="C92" s="121">
        <v>0.26074999999999998</v>
      </c>
      <c r="D92" s="68">
        <f t="shared" si="1"/>
        <v>1.5000000000000013E-3</v>
      </c>
      <c r="E92" s="30"/>
      <c r="F92" s="30"/>
    </row>
    <row r="93" spans="2:6">
      <c r="B93" s="120">
        <v>40676</v>
      </c>
      <c r="C93" s="121">
        <v>0.26050000000000001</v>
      </c>
      <c r="D93" s="68">
        <f t="shared" si="1"/>
        <v>2.4999999999997247E-4</v>
      </c>
      <c r="E93" s="30"/>
      <c r="F93" s="30"/>
    </row>
    <row r="94" spans="2:6">
      <c r="B94" s="120">
        <v>40679</v>
      </c>
      <c r="C94" s="121">
        <v>0.26050000000000001</v>
      </c>
      <c r="D94" s="68">
        <f t="shared" si="1"/>
        <v>0</v>
      </c>
      <c r="E94" s="30"/>
      <c r="F94" s="30"/>
    </row>
    <row r="95" spans="2:6">
      <c r="B95" s="120">
        <v>40680</v>
      </c>
      <c r="C95" s="121">
        <v>0.25974999999999998</v>
      </c>
      <c r="D95" s="68">
        <f t="shared" si="1"/>
        <v>7.5000000000002842E-4</v>
      </c>
      <c r="E95" s="30"/>
      <c r="F95" s="30"/>
    </row>
    <row r="96" spans="2:6">
      <c r="B96" s="120">
        <v>40681</v>
      </c>
      <c r="C96" s="121">
        <v>0.26</v>
      </c>
      <c r="D96" s="68">
        <f t="shared" si="1"/>
        <v>-2.5000000000002798E-4</v>
      </c>
      <c r="E96" s="30"/>
      <c r="F96" s="30"/>
    </row>
    <row r="97" spans="2:6">
      <c r="B97" s="120">
        <v>40682</v>
      </c>
      <c r="C97" s="121">
        <v>0.25850000000000001</v>
      </c>
      <c r="D97" s="68">
        <f t="shared" si="1"/>
        <v>1.5000000000000013E-3</v>
      </c>
      <c r="E97" s="30"/>
      <c r="F97" s="30"/>
    </row>
    <row r="98" spans="2:6">
      <c r="B98" s="120">
        <v>40683</v>
      </c>
      <c r="C98" s="121">
        <v>0.25750000000000001</v>
      </c>
      <c r="D98" s="68">
        <f t="shared" si="1"/>
        <v>1.0000000000000009E-3</v>
      </c>
      <c r="E98" s="30"/>
      <c r="F98" s="30"/>
    </row>
    <row r="99" spans="2:6">
      <c r="B99" s="120">
        <v>40686</v>
      </c>
      <c r="C99" s="121">
        <v>0.25674999999999998</v>
      </c>
      <c r="D99" s="68">
        <f t="shared" si="1"/>
        <v>7.5000000000002842E-4</v>
      </c>
      <c r="E99" s="30"/>
      <c r="F99" s="30"/>
    </row>
    <row r="100" spans="2:6">
      <c r="B100" s="120">
        <v>40687</v>
      </c>
      <c r="C100" s="121">
        <v>0.255</v>
      </c>
      <c r="D100" s="68">
        <f t="shared" si="1"/>
        <v>1.7499999999999738E-3</v>
      </c>
      <c r="E100" s="30"/>
      <c r="F100" s="30"/>
    </row>
    <row r="101" spans="2:6">
      <c r="B101" s="120">
        <v>40688</v>
      </c>
      <c r="C101" s="121">
        <v>0.2545</v>
      </c>
      <c r="D101" s="68">
        <f t="shared" si="1"/>
        <v>5.0000000000000044E-4</v>
      </c>
      <c r="E101" s="30"/>
      <c r="F101" s="30"/>
    </row>
    <row r="102" spans="2:6">
      <c r="B102" s="120">
        <v>40689</v>
      </c>
      <c r="C102" s="121">
        <v>0.254</v>
      </c>
      <c r="D102" s="68">
        <f t="shared" si="1"/>
        <v>5.0000000000000044E-4</v>
      </c>
      <c r="E102" s="30"/>
      <c r="F102" s="30"/>
    </row>
    <row r="103" spans="2:6">
      <c r="B103" s="120">
        <v>40690</v>
      </c>
      <c r="C103" s="121">
        <v>0.25387999999999999</v>
      </c>
      <c r="D103" s="68">
        <f t="shared" si="1"/>
        <v>1.2000000000000899E-4</v>
      </c>
      <c r="E103" s="30"/>
      <c r="F103" s="30"/>
    </row>
    <row r="104" spans="2:6">
      <c r="B104" s="120">
        <v>40694</v>
      </c>
      <c r="C104" s="121">
        <v>0.25287999999999999</v>
      </c>
      <c r="D104" s="68">
        <f t="shared" si="1"/>
        <v>1.0000000000000009E-3</v>
      </c>
      <c r="E104" s="30"/>
      <c r="F104" s="30"/>
    </row>
    <row r="105" spans="2:6">
      <c r="B105" s="120">
        <v>40695</v>
      </c>
      <c r="C105" s="121">
        <v>0.25287999999999999</v>
      </c>
      <c r="D105" s="68">
        <f t="shared" si="1"/>
        <v>0</v>
      </c>
      <c r="E105" s="30"/>
      <c r="F105" s="30"/>
    </row>
    <row r="106" spans="2:6">
      <c r="B106" s="120">
        <v>40696</v>
      </c>
      <c r="C106" s="121">
        <v>0.252</v>
      </c>
      <c r="D106" s="68">
        <f t="shared" si="1"/>
        <v>8.799999999999919E-4</v>
      </c>
      <c r="E106" s="30"/>
      <c r="F106" s="30"/>
    </row>
    <row r="107" spans="2:6">
      <c r="B107" s="120">
        <v>40697</v>
      </c>
      <c r="C107" s="121">
        <v>0.252</v>
      </c>
      <c r="D107" s="68">
        <f t="shared" si="1"/>
        <v>0</v>
      </c>
      <c r="E107" s="30"/>
      <c r="F107" s="30"/>
    </row>
    <row r="108" spans="2:6">
      <c r="B108" s="120">
        <v>40700</v>
      </c>
      <c r="C108" s="121">
        <v>0.25174999999999997</v>
      </c>
      <c r="D108" s="68">
        <f t="shared" si="1"/>
        <v>2.5000000000002798E-4</v>
      </c>
      <c r="E108" s="30"/>
      <c r="F108" s="30"/>
    </row>
    <row r="109" spans="2:6">
      <c r="B109" s="120">
        <v>40701</v>
      </c>
      <c r="C109" s="121">
        <v>0.25174999999999997</v>
      </c>
      <c r="D109" s="68">
        <f t="shared" si="1"/>
        <v>0</v>
      </c>
      <c r="E109" s="30"/>
      <c r="F109" s="30"/>
    </row>
    <row r="110" spans="2:6">
      <c r="B110" s="120">
        <v>40702</v>
      </c>
      <c r="C110" s="121">
        <v>0.25024999999999997</v>
      </c>
      <c r="D110" s="68">
        <f t="shared" si="1"/>
        <v>1.5000000000000013E-3</v>
      </c>
      <c r="E110" s="30"/>
      <c r="F110" s="30"/>
    </row>
    <row r="111" spans="2:6">
      <c r="B111" s="120">
        <v>40703</v>
      </c>
      <c r="C111" s="121">
        <v>0.2495</v>
      </c>
      <c r="D111" s="68">
        <f t="shared" si="1"/>
        <v>7.4999999999997291E-4</v>
      </c>
      <c r="E111" s="30"/>
      <c r="F111" s="30"/>
    </row>
    <row r="112" spans="2:6">
      <c r="B112" s="120">
        <v>40704</v>
      </c>
      <c r="C112" s="121">
        <v>0.2485</v>
      </c>
      <c r="D112" s="68">
        <f t="shared" si="1"/>
        <v>1.0000000000000009E-3</v>
      </c>
      <c r="E112" s="30"/>
      <c r="F112" s="30"/>
    </row>
    <row r="113" spans="2:6">
      <c r="B113" s="120">
        <v>40707</v>
      </c>
      <c r="C113" s="121">
        <v>0.247</v>
      </c>
      <c r="D113" s="68">
        <f t="shared" si="1"/>
        <v>1.5000000000000013E-3</v>
      </c>
      <c r="E113" s="30"/>
      <c r="F113" s="30"/>
    </row>
    <row r="114" spans="2:6">
      <c r="B114" s="120">
        <v>40708</v>
      </c>
      <c r="C114" s="121">
        <v>0.24525</v>
      </c>
      <c r="D114" s="68">
        <f t="shared" si="1"/>
        <v>1.7500000000000016E-3</v>
      </c>
      <c r="E114" s="30"/>
      <c r="F114" s="30"/>
    </row>
    <row r="115" spans="2:6">
      <c r="B115" s="120">
        <v>40709</v>
      </c>
      <c r="C115" s="121">
        <v>0.245</v>
      </c>
      <c r="D115" s="68">
        <f t="shared" si="1"/>
        <v>2.5000000000000022E-4</v>
      </c>
      <c r="E115" s="30"/>
      <c r="F115" s="30"/>
    </row>
    <row r="116" spans="2:6">
      <c r="B116" s="120">
        <v>40710</v>
      </c>
      <c r="C116" s="121">
        <v>0.2465</v>
      </c>
      <c r="D116" s="68">
        <f t="shared" si="1"/>
        <v>-1.5000000000000013E-3</v>
      </c>
      <c r="E116" s="30"/>
      <c r="F116" s="30"/>
    </row>
    <row r="117" spans="2:6">
      <c r="B117" s="120">
        <v>40711</v>
      </c>
      <c r="C117" s="121">
        <v>0.2465</v>
      </c>
      <c r="D117" s="68">
        <f t="shared" si="1"/>
        <v>0</v>
      </c>
      <c r="E117" s="30"/>
      <c r="F117" s="30"/>
    </row>
    <row r="118" spans="2:6">
      <c r="B118" s="120">
        <v>40714</v>
      </c>
      <c r="C118" s="121">
        <v>0.2465</v>
      </c>
      <c r="D118" s="68">
        <f t="shared" si="1"/>
        <v>0</v>
      </c>
      <c r="E118" s="30"/>
      <c r="F118" s="30"/>
    </row>
    <row r="119" spans="2:6">
      <c r="B119" s="120">
        <v>40715</v>
      </c>
      <c r="C119" s="121">
        <v>0.2455</v>
      </c>
      <c r="D119" s="68">
        <f t="shared" si="1"/>
        <v>1.0000000000000009E-3</v>
      </c>
      <c r="E119" s="30"/>
      <c r="F119" s="30"/>
    </row>
    <row r="120" spans="2:6">
      <c r="B120" s="120">
        <v>40716</v>
      </c>
      <c r="C120" s="121">
        <v>0.2455</v>
      </c>
      <c r="D120" s="68">
        <f t="shared" si="1"/>
        <v>0</v>
      </c>
      <c r="E120" s="30"/>
      <c r="F120" s="30"/>
    </row>
    <row r="121" spans="2:6">
      <c r="B121" s="120">
        <v>40717</v>
      </c>
      <c r="C121" s="121">
        <v>0.2465</v>
      </c>
      <c r="D121" s="68">
        <f t="shared" si="1"/>
        <v>-1.0000000000000009E-3</v>
      </c>
      <c r="E121" s="30"/>
      <c r="F121" s="30"/>
    </row>
    <row r="122" spans="2:6">
      <c r="B122" s="120">
        <v>40718</v>
      </c>
      <c r="C122" s="121">
        <v>0.24625</v>
      </c>
      <c r="D122" s="68">
        <f t="shared" si="1"/>
        <v>2.5000000000000022E-4</v>
      </c>
      <c r="E122" s="30"/>
      <c r="F122" s="30"/>
    </row>
    <row r="123" spans="2:6">
      <c r="B123" s="120">
        <v>40721</v>
      </c>
      <c r="C123" s="121">
        <v>0.24575</v>
      </c>
      <c r="D123" s="68">
        <f t="shared" si="1"/>
        <v>5.0000000000000044E-4</v>
      </c>
      <c r="E123" s="30"/>
      <c r="F123" s="30"/>
    </row>
    <row r="124" spans="2:6">
      <c r="B124" s="120">
        <v>40722</v>
      </c>
      <c r="C124" s="121">
        <v>0.24575</v>
      </c>
      <c r="D124" s="68">
        <f t="shared" si="1"/>
        <v>0</v>
      </c>
      <c r="E124" s="30"/>
      <c r="F124" s="30"/>
    </row>
    <row r="125" spans="2:6">
      <c r="B125" s="120">
        <v>40723</v>
      </c>
      <c r="C125" s="121">
        <v>0.24575</v>
      </c>
      <c r="D125" s="68">
        <f t="shared" si="1"/>
        <v>0</v>
      </c>
      <c r="E125" s="30"/>
      <c r="F125" s="30"/>
    </row>
    <row r="126" spans="2:6">
      <c r="B126" s="120">
        <v>40724</v>
      </c>
      <c r="C126" s="121">
        <v>0.24575</v>
      </c>
      <c r="D126" s="68">
        <f t="shared" si="1"/>
        <v>0</v>
      </c>
      <c r="E126" s="30"/>
      <c r="F126" s="30"/>
    </row>
    <row r="127" spans="2:6">
      <c r="B127" s="120">
        <v>40725</v>
      </c>
      <c r="C127" s="121">
        <v>0.24575</v>
      </c>
      <c r="D127" s="68">
        <f t="shared" si="1"/>
        <v>0</v>
      </c>
      <c r="E127" s="30"/>
      <c r="F127" s="30"/>
    </row>
    <row r="128" spans="2:6">
      <c r="B128" s="120">
        <v>40728</v>
      </c>
      <c r="C128" s="121">
        <v>0.24575</v>
      </c>
      <c r="D128" s="68">
        <f t="shared" si="1"/>
        <v>0</v>
      </c>
      <c r="E128" s="30"/>
      <c r="F128" s="30"/>
    </row>
    <row r="129" spans="2:6">
      <c r="B129" s="120">
        <v>40729</v>
      </c>
      <c r="C129" s="121">
        <v>0.24575</v>
      </c>
      <c r="D129" s="68">
        <f t="shared" si="1"/>
        <v>0</v>
      </c>
      <c r="E129" s="30"/>
      <c r="F129" s="30"/>
    </row>
    <row r="130" spans="2:6">
      <c r="B130" s="120">
        <v>40730</v>
      </c>
      <c r="C130" s="121">
        <v>0.24575</v>
      </c>
      <c r="D130" s="68">
        <f t="shared" si="1"/>
        <v>0</v>
      </c>
      <c r="E130" s="30"/>
      <c r="F130" s="30"/>
    </row>
    <row r="131" spans="2:6">
      <c r="B131" s="120">
        <v>40731</v>
      </c>
      <c r="C131" s="121">
        <v>0.24604999999999999</v>
      </c>
      <c r="D131" s="68">
        <f t="shared" si="1"/>
        <v>-2.9999999999999472E-4</v>
      </c>
      <c r="E131" s="30"/>
      <c r="F131" s="30"/>
    </row>
    <row r="132" spans="2:6">
      <c r="B132" s="120">
        <v>40732</v>
      </c>
      <c r="C132" s="121">
        <v>0.24604999999999999</v>
      </c>
      <c r="D132" s="68">
        <f t="shared" si="1"/>
        <v>0</v>
      </c>
      <c r="E132" s="30"/>
      <c r="F132" s="30"/>
    </row>
    <row r="133" spans="2:6">
      <c r="B133" s="120">
        <v>40735</v>
      </c>
      <c r="C133" s="121">
        <v>0.24604999999999999</v>
      </c>
      <c r="D133" s="68">
        <f t="shared" si="1"/>
        <v>0</v>
      </c>
      <c r="E133" s="30"/>
      <c r="F133" s="30"/>
    </row>
    <row r="134" spans="2:6">
      <c r="B134" s="120">
        <v>40736</v>
      </c>
      <c r="C134" s="121">
        <v>0.249</v>
      </c>
      <c r="D134" s="68">
        <f t="shared" ref="D134:D197" si="2">C133-C134</f>
        <v>-2.9500000000000082E-3</v>
      </c>
      <c r="E134" s="30"/>
      <c r="F134" s="30"/>
    </row>
    <row r="135" spans="2:6">
      <c r="B135" s="120">
        <v>40737</v>
      </c>
      <c r="C135" s="121">
        <v>0.24925</v>
      </c>
      <c r="D135" s="68">
        <f t="shared" si="2"/>
        <v>-2.5000000000000022E-4</v>
      </c>
      <c r="E135" s="30"/>
      <c r="F135" s="30"/>
    </row>
    <row r="136" spans="2:6">
      <c r="B136" s="120">
        <v>40738</v>
      </c>
      <c r="C136" s="121">
        <v>0.24975</v>
      </c>
      <c r="D136" s="68">
        <f t="shared" si="2"/>
        <v>-5.0000000000000044E-4</v>
      </c>
      <c r="E136" s="30"/>
      <c r="F136" s="30"/>
    </row>
    <row r="137" spans="2:6">
      <c r="B137" s="120">
        <v>40739</v>
      </c>
      <c r="C137" s="121">
        <v>0.24975</v>
      </c>
      <c r="D137" s="68">
        <f t="shared" si="2"/>
        <v>0</v>
      </c>
      <c r="E137" s="30"/>
      <c r="F137" s="30"/>
    </row>
    <row r="138" spans="2:6">
      <c r="B138" s="120">
        <v>40742</v>
      </c>
      <c r="C138" s="121">
        <v>0.25124999999999997</v>
      </c>
      <c r="D138" s="68">
        <f t="shared" si="2"/>
        <v>-1.4999999999999736E-3</v>
      </c>
      <c r="E138" s="30"/>
      <c r="F138" s="30"/>
    </row>
    <row r="139" spans="2:6">
      <c r="B139" s="120">
        <v>40743</v>
      </c>
      <c r="C139" s="121">
        <v>0.252</v>
      </c>
      <c r="D139" s="68">
        <f t="shared" si="2"/>
        <v>-7.5000000000002842E-4</v>
      </c>
      <c r="E139" s="30"/>
      <c r="F139" s="30"/>
    </row>
    <row r="140" spans="2:6">
      <c r="B140" s="120">
        <v>40744</v>
      </c>
      <c r="C140" s="121">
        <v>0.253</v>
      </c>
      <c r="D140" s="68">
        <f t="shared" si="2"/>
        <v>-1.0000000000000009E-3</v>
      </c>
      <c r="E140" s="30"/>
      <c r="F140" s="30"/>
    </row>
    <row r="141" spans="2:6">
      <c r="B141" s="120">
        <v>40745</v>
      </c>
      <c r="C141" s="121">
        <v>0.253</v>
      </c>
      <c r="D141" s="68">
        <f t="shared" si="2"/>
        <v>0</v>
      </c>
      <c r="E141" s="30"/>
      <c r="F141" s="30"/>
    </row>
    <row r="142" spans="2:6">
      <c r="B142" s="120">
        <v>40746</v>
      </c>
      <c r="C142" s="121">
        <v>0.253</v>
      </c>
      <c r="D142" s="68">
        <f t="shared" si="2"/>
        <v>0</v>
      </c>
      <c r="E142" s="30"/>
      <c r="F142" s="30"/>
    </row>
    <row r="143" spans="2:6">
      <c r="B143" s="120">
        <v>40749</v>
      </c>
      <c r="C143" s="121">
        <v>0.25209999999999999</v>
      </c>
      <c r="D143" s="68">
        <f t="shared" si="2"/>
        <v>9.000000000000119E-4</v>
      </c>
      <c r="E143" s="30"/>
      <c r="F143" s="30"/>
    </row>
    <row r="144" spans="2:6">
      <c r="B144" s="120">
        <v>40750</v>
      </c>
      <c r="C144" s="121">
        <v>0.25259999999999999</v>
      </c>
      <c r="D144" s="68">
        <f t="shared" si="2"/>
        <v>-5.0000000000000044E-4</v>
      </c>
      <c r="E144" s="30"/>
      <c r="F144" s="30"/>
    </row>
    <row r="145" spans="2:6">
      <c r="B145" s="120">
        <v>40751</v>
      </c>
      <c r="C145" s="121">
        <v>0.25285000000000002</v>
      </c>
      <c r="D145" s="68">
        <f t="shared" si="2"/>
        <v>-2.5000000000002798E-4</v>
      </c>
      <c r="E145" s="30"/>
      <c r="F145" s="30"/>
    </row>
    <row r="146" spans="2:6">
      <c r="B146" s="120">
        <v>40752</v>
      </c>
      <c r="C146" s="121">
        <v>0.25395000000000001</v>
      </c>
      <c r="D146" s="68">
        <f t="shared" si="2"/>
        <v>-1.0999999999999899E-3</v>
      </c>
      <c r="E146" s="30"/>
      <c r="F146" s="30"/>
    </row>
    <row r="147" spans="2:6">
      <c r="B147" s="120">
        <v>40753</v>
      </c>
      <c r="C147" s="121">
        <v>0.2555</v>
      </c>
      <c r="D147" s="68">
        <f t="shared" si="2"/>
        <v>-1.5499999999999958E-3</v>
      </c>
      <c r="E147" s="30"/>
      <c r="F147" s="30"/>
    </row>
    <row r="148" spans="2:6">
      <c r="B148" s="120">
        <v>40756</v>
      </c>
      <c r="C148" s="121">
        <v>0.25722</v>
      </c>
      <c r="D148" s="68">
        <f t="shared" si="2"/>
        <v>-1.7199999999999993E-3</v>
      </c>
      <c r="E148" s="30"/>
      <c r="F148" s="30"/>
    </row>
    <row r="149" spans="2:6">
      <c r="B149" s="120">
        <v>40757</v>
      </c>
      <c r="C149" s="121">
        <v>0.26444000000000001</v>
      </c>
      <c r="D149" s="68">
        <f t="shared" si="2"/>
        <v>-7.2200000000000042E-3</v>
      </c>
      <c r="E149" s="30"/>
      <c r="F149" s="30"/>
    </row>
    <row r="150" spans="2:6">
      <c r="B150" s="120">
        <v>40758</v>
      </c>
      <c r="C150" s="121">
        <v>0.26828000000000002</v>
      </c>
      <c r="D150" s="68">
        <f t="shared" si="2"/>
        <v>-3.8400000000000101E-3</v>
      </c>
      <c r="E150" s="30"/>
      <c r="F150" s="30"/>
    </row>
    <row r="151" spans="2:6">
      <c r="B151" s="120">
        <v>40759</v>
      </c>
      <c r="C151" s="121">
        <v>0.26939000000000002</v>
      </c>
      <c r="D151" s="68">
        <f t="shared" si="2"/>
        <v>-1.1099999999999999E-3</v>
      </c>
      <c r="E151" s="30"/>
      <c r="F151" s="30"/>
    </row>
    <row r="152" spans="2:6">
      <c r="B152" s="120">
        <v>40760</v>
      </c>
      <c r="C152" s="121">
        <v>0.27161000000000002</v>
      </c>
      <c r="D152" s="68">
        <f t="shared" si="2"/>
        <v>-2.2199999999999998E-3</v>
      </c>
      <c r="E152" s="30"/>
      <c r="F152" s="30"/>
    </row>
    <row r="153" spans="2:6">
      <c r="B153" s="120">
        <v>40763</v>
      </c>
      <c r="C153" s="121">
        <v>0.27478000000000002</v>
      </c>
      <c r="D153" s="68">
        <f t="shared" si="2"/>
        <v>-3.1700000000000061E-3</v>
      </c>
      <c r="E153" s="30"/>
      <c r="F153" s="30"/>
    </row>
    <row r="154" spans="2:6">
      <c r="B154" s="120">
        <v>40764</v>
      </c>
      <c r="C154" s="121">
        <v>0.27839000000000003</v>
      </c>
      <c r="D154" s="68">
        <f t="shared" si="2"/>
        <v>-3.6100000000000021E-3</v>
      </c>
      <c r="E154" s="30"/>
      <c r="F154" s="30"/>
    </row>
    <row r="155" spans="2:6">
      <c r="B155" s="120">
        <v>40765</v>
      </c>
      <c r="C155" s="121">
        <v>0.28061000000000003</v>
      </c>
      <c r="D155" s="68">
        <f t="shared" si="2"/>
        <v>-2.2199999999999998E-3</v>
      </c>
      <c r="E155" s="30"/>
      <c r="F155" s="30"/>
    </row>
    <row r="156" spans="2:6">
      <c r="B156" s="120">
        <v>40766</v>
      </c>
      <c r="C156" s="121">
        <v>0.28616999999999998</v>
      </c>
      <c r="D156" s="68">
        <f t="shared" si="2"/>
        <v>-5.5599999999999539E-3</v>
      </c>
      <c r="E156" s="30"/>
      <c r="F156" s="30"/>
    </row>
    <row r="157" spans="2:6">
      <c r="B157" s="120">
        <v>40767</v>
      </c>
      <c r="C157" s="121">
        <v>0.29005999999999998</v>
      </c>
      <c r="D157" s="68">
        <f t="shared" si="2"/>
        <v>-3.8900000000000046E-3</v>
      </c>
      <c r="E157" s="30"/>
      <c r="F157" s="30"/>
    </row>
    <row r="158" spans="2:6">
      <c r="B158" s="120">
        <v>40770</v>
      </c>
      <c r="C158" s="121">
        <v>0.29171999999999998</v>
      </c>
      <c r="D158" s="68">
        <f t="shared" si="2"/>
        <v>-1.6599999999999948E-3</v>
      </c>
      <c r="E158" s="30"/>
      <c r="F158" s="30"/>
    </row>
    <row r="159" spans="2:6">
      <c r="B159" s="120">
        <v>40771</v>
      </c>
      <c r="C159" s="121">
        <v>0.29282999999999998</v>
      </c>
      <c r="D159" s="68">
        <f t="shared" si="2"/>
        <v>-1.1099999999999999E-3</v>
      </c>
      <c r="E159" s="30"/>
      <c r="F159" s="30"/>
    </row>
    <row r="160" spans="2:6">
      <c r="B160" s="120">
        <v>40772</v>
      </c>
      <c r="C160" s="121">
        <v>0.29588999999999999</v>
      </c>
      <c r="D160" s="68">
        <f t="shared" si="2"/>
        <v>-3.0600000000000072E-3</v>
      </c>
      <c r="E160" s="30"/>
      <c r="F160" s="30"/>
    </row>
    <row r="161" spans="2:6">
      <c r="B161" s="120">
        <v>40773</v>
      </c>
      <c r="C161" s="121">
        <v>0.29777999999999999</v>
      </c>
      <c r="D161" s="68">
        <f t="shared" si="2"/>
        <v>-1.8900000000000028E-3</v>
      </c>
      <c r="E161" s="30"/>
      <c r="F161" s="30"/>
    </row>
    <row r="162" spans="2:6">
      <c r="B162" s="120">
        <v>40774</v>
      </c>
      <c r="C162" s="121">
        <v>0.30299999999999999</v>
      </c>
      <c r="D162" s="68">
        <f t="shared" si="2"/>
        <v>-5.2200000000000024E-3</v>
      </c>
      <c r="E162" s="30"/>
      <c r="F162" s="30"/>
    </row>
    <row r="163" spans="2:6">
      <c r="B163" s="120">
        <v>40777</v>
      </c>
      <c r="C163" s="121">
        <v>0.30843999999999999</v>
      </c>
      <c r="D163" s="68">
        <f t="shared" si="2"/>
        <v>-5.4400000000000004E-3</v>
      </c>
      <c r="E163" s="30"/>
      <c r="F163" s="30"/>
    </row>
    <row r="164" spans="2:6">
      <c r="B164" s="120">
        <v>40778</v>
      </c>
      <c r="C164" s="121">
        <v>0.31178</v>
      </c>
      <c r="D164" s="68">
        <f t="shared" si="2"/>
        <v>-3.3400000000000096E-3</v>
      </c>
      <c r="E164" s="30"/>
      <c r="F164" s="30"/>
    </row>
    <row r="165" spans="2:6">
      <c r="B165" s="120">
        <v>40779</v>
      </c>
      <c r="C165" s="121">
        <v>0.31428</v>
      </c>
      <c r="D165" s="68">
        <f t="shared" si="2"/>
        <v>-2.5000000000000022E-3</v>
      </c>
      <c r="E165" s="30"/>
      <c r="F165" s="30"/>
    </row>
    <row r="166" spans="2:6">
      <c r="B166" s="120">
        <v>40780</v>
      </c>
      <c r="C166" s="121">
        <v>0.31900000000000001</v>
      </c>
      <c r="D166" s="68">
        <f t="shared" si="2"/>
        <v>-4.720000000000002E-3</v>
      </c>
      <c r="E166" s="30"/>
      <c r="F166" s="30"/>
    </row>
    <row r="167" spans="2:6">
      <c r="B167" s="120">
        <v>40781</v>
      </c>
      <c r="C167" s="121">
        <v>0.32278000000000001</v>
      </c>
      <c r="D167" s="68">
        <f t="shared" si="2"/>
        <v>-3.7800000000000056E-3</v>
      </c>
      <c r="E167" s="30"/>
      <c r="F167" s="30"/>
    </row>
    <row r="168" spans="2:6">
      <c r="B168" s="120">
        <v>40785</v>
      </c>
      <c r="C168" s="121">
        <v>0.32556000000000002</v>
      </c>
      <c r="D168" s="68">
        <f t="shared" si="2"/>
        <v>-2.7800000000000047E-3</v>
      </c>
      <c r="E168" s="30"/>
      <c r="F168" s="30"/>
    </row>
    <row r="169" spans="2:6">
      <c r="B169" s="120">
        <v>40786</v>
      </c>
      <c r="C169" s="121">
        <v>0.32722000000000001</v>
      </c>
      <c r="D169" s="68">
        <f t="shared" si="2"/>
        <v>-1.6599999999999948E-3</v>
      </c>
      <c r="E169" s="30"/>
      <c r="F169" s="30"/>
    </row>
    <row r="170" spans="2:6">
      <c r="B170" s="120">
        <v>40787</v>
      </c>
      <c r="C170" s="121">
        <v>0.32944000000000001</v>
      </c>
      <c r="D170" s="68">
        <f t="shared" si="2"/>
        <v>-2.2199999999999998E-3</v>
      </c>
      <c r="E170" s="30"/>
      <c r="F170" s="30"/>
    </row>
    <row r="171" spans="2:6">
      <c r="B171" s="120">
        <v>40788</v>
      </c>
      <c r="C171" s="121">
        <v>0.33056000000000002</v>
      </c>
      <c r="D171" s="68">
        <f t="shared" si="2"/>
        <v>-1.1200000000000099E-3</v>
      </c>
      <c r="E171" s="30"/>
      <c r="F171" s="30"/>
    </row>
    <row r="172" spans="2:6">
      <c r="B172" s="120">
        <v>40791</v>
      </c>
      <c r="C172" s="121">
        <v>0.33278000000000002</v>
      </c>
      <c r="D172" s="68">
        <f t="shared" si="2"/>
        <v>-2.2199999999999998E-3</v>
      </c>
      <c r="E172" s="30"/>
      <c r="F172" s="30"/>
    </row>
    <row r="173" spans="2:6">
      <c r="B173" s="120">
        <v>40792</v>
      </c>
      <c r="C173" s="121">
        <v>0.33561000000000002</v>
      </c>
      <c r="D173" s="68">
        <f t="shared" si="2"/>
        <v>-2.8299999999999992E-3</v>
      </c>
      <c r="E173" s="30"/>
      <c r="F173" s="30"/>
    </row>
    <row r="174" spans="2:6">
      <c r="B174" s="120">
        <v>40793</v>
      </c>
      <c r="C174" s="121">
        <v>0.33683000000000002</v>
      </c>
      <c r="D174" s="68">
        <f t="shared" si="2"/>
        <v>-1.2199999999999989E-3</v>
      </c>
      <c r="E174" s="30"/>
      <c r="F174" s="30"/>
    </row>
    <row r="175" spans="2:6">
      <c r="B175" s="120">
        <v>40794</v>
      </c>
      <c r="C175" s="121">
        <v>0.33683000000000002</v>
      </c>
      <c r="D175" s="68">
        <f t="shared" si="2"/>
        <v>0</v>
      </c>
      <c r="E175" s="30"/>
      <c r="F175" s="30"/>
    </row>
    <row r="176" spans="2:6">
      <c r="B176" s="120">
        <v>40795</v>
      </c>
      <c r="C176" s="121">
        <v>0.33794000000000002</v>
      </c>
      <c r="D176" s="68">
        <f t="shared" si="2"/>
        <v>-1.1099999999999999E-3</v>
      </c>
      <c r="E176" s="30"/>
      <c r="F176" s="30"/>
    </row>
    <row r="177" spans="2:6">
      <c r="B177" s="120">
        <v>40798</v>
      </c>
      <c r="C177" s="121">
        <v>0.34288999999999997</v>
      </c>
      <c r="D177" s="68">
        <f t="shared" si="2"/>
        <v>-4.9499999999999544E-3</v>
      </c>
      <c r="E177" s="30"/>
      <c r="F177" s="30"/>
    </row>
    <row r="178" spans="2:6">
      <c r="B178" s="120">
        <v>40799</v>
      </c>
      <c r="C178" s="121">
        <v>0.34710999999999997</v>
      </c>
      <c r="D178" s="68">
        <f t="shared" si="2"/>
        <v>-4.2200000000000015E-3</v>
      </c>
      <c r="E178" s="30"/>
      <c r="F178" s="30"/>
    </row>
    <row r="179" spans="2:6">
      <c r="B179" s="120">
        <v>40800</v>
      </c>
      <c r="C179" s="121">
        <v>0.34910999999999998</v>
      </c>
      <c r="D179" s="68">
        <f t="shared" si="2"/>
        <v>-2.0000000000000018E-3</v>
      </c>
      <c r="E179" s="30"/>
      <c r="F179" s="30"/>
    </row>
    <row r="180" spans="2:6">
      <c r="B180" s="120">
        <v>40801</v>
      </c>
      <c r="C180" s="121">
        <v>0.35021999999999998</v>
      </c>
      <c r="D180" s="68">
        <f t="shared" si="2"/>
        <v>-1.1099999999999999E-3</v>
      </c>
      <c r="E180" s="30"/>
      <c r="F180" s="30"/>
    </row>
    <row r="181" spans="2:6">
      <c r="B181" s="120">
        <v>40802</v>
      </c>
      <c r="C181" s="121">
        <v>0.35132999999999998</v>
      </c>
      <c r="D181" s="68">
        <f t="shared" si="2"/>
        <v>-1.1099999999999999E-3</v>
      </c>
      <c r="E181" s="30"/>
      <c r="F181" s="30"/>
    </row>
    <row r="182" spans="2:6">
      <c r="B182" s="120">
        <v>40805</v>
      </c>
      <c r="C182" s="121">
        <v>0.35249999999999998</v>
      </c>
      <c r="D182" s="68">
        <f t="shared" si="2"/>
        <v>-1.1700000000000044E-3</v>
      </c>
      <c r="E182" s="30"/>
      <c r="F182" s="30"/>
    </row>
    <row r="183" spans="2:6">
      <c r="B183" s="120">
        <v>40806</v>
      </c>
      <c r="C183" s="121">
        <v>0.35499999999999998</v>
      </c>
      <c r="D183" s="68">
        <f t="shared" si="2"/>
        <v>-2.5000000000000022E-3</v>
      </c>
      <c r="E183" s="30"/>
      <c r="F183" s="30"/>
    </row>
    <row r="184" spans="2:6">
      <c r="B184" s="120">
        <v>40807</v>
      </c>
      <c r="C184" s="121">
        <v>0.35555999999999999</v>
      </c>
      <c r="D184" s="68">
        <f t="shared" si="2"/>
        <v>-5.6000000000000494E-4</v>
      </c>
      <c r="E184" s="30"/>
      <c r="F184" s="30"/>
    </row>
    <row r="185" spans="2:6">
      <c r="B185" s="120">
        <v>40808</v>
      </c>
      <c r="C185" s="121">
        <v>0.35805999999999999</v>
      </c>
      <c r="D185" s="68">
        <f t="shared" si="2"/>
        <v>-2.5000000000000022E-3</v>
      </c>
      <c r="E185" s="30"/>
      <c r="F185" s="30"/>
    </row>
    <row r="186" spans="2:6">
      <c r="B186" s="120">
        <v>40809</v>
      </c>
      <c r="C186" s="121">
        <v>0.36021999999999998</v>
      </c>
      <c r="D186" s="68">
        <f t="shared" si="2"/>
        <v>-2.1599999999999953E-3</v>
      </c>
      <c r="E186" s="30"/>
      <c r="F186" s="30"/>
    </row>
    <row r="187" spans="2:6">
      <c r="B187" s="120">
        <v>40812</v>
      </c>
      <c r="C187" s="121">
        <v>0.36277999999999999</v>
      </c>
      <c r="D187" s="68">
        <f t="shared" si="2"/>
        <v>-2.5600000000000067E-3</v>
      </c>
      <c r="E187" s="30"/>
      <c r="F187" s="30"/>
    </row>
    <row r="188" spans="2:6">
      <c r="B188" s="120">
        <v>40813</v>
      </c>
      <c r="C188" s="121">
        <v>0.36521999999999999</v>
      </c>
      <c r="D188" s="68">
        <f t="shared" si="2"/>
        <v>-2.4399999999999977E-3</v>
      </c>
      <c r="E188" s="30"/>
      <c r="F188" s="30"/>
    </row>
    <row r="189" spans="2:6">
      <c r="B189" s="120">
        <v>40814</v>
      </c>
      <c r="C189" s="121">
        <v>0.36856</v>
      </c>
      <c r="D189" s="68">
        <f t="shared" si="2"/>
        <v>-3.3400000000000096E-3</v>
      </c>
      <c r="E189" s="30"/>
      <c r="F189" s="30"/>
    </row>
    <row r="190" spans="2:6">
      <c r="B190" s="120">
        <v>40815</v>
      </c>
      <c r="C190" s="121">
        <v>0.37211</v>
      </c>
      <c r="D190" s="68">
        <f t="shared" si="2"/>
        <v>-3.5499999999999976E-3</v>
      </c>
      <c r="E190" s="30"/>
      <c r="F190" s="30"/>
    </row>
    <row r="191" spans="2:6">
      <c r="B191" s="120">
        <v>40816</v>
      </c>
      <c r="C191" s="121">
        <v>0.37433</v>
      </c>
      <c r="D191" s="68">
        <f t="shared" si="2"/>
        <v>-2.2199999999999998E-3</v>
      </c>
      <c r="E191" s="30"/>
      <c r="F191" s="30"/>
    </row>
    <row r="192" spans="2:6">
      <c r="B192" s="120">
        <v>40819</v>
      </c>
      <c r="C192" s="121">
        <v>0.37761</v>
      </c>
      <c r="D192" s="68">
        <f t="shared" si="2"/>
        <v>-3.2800000000000051E-3</v>
      </c>
      <c r="E192" s="30"/>
      <c r="F192" s="30"/>
    </row>
    <row r="193" spans="2:6">
      <c r="B193" s="120">
        <v>40820</v>
      </c>
      <c r="C193" s="121">
        <v>0.38094</v>
      </c>
      <c r="D193" s="68">
        <f t="shared" si="2"/>
        <v>-3.3299999999999996E-3</v>
      </c>
      <c r="E193" s="30"/>
      <c r="F193" s="30"/>
    </row>
    <row r="194" spans="2:6">
      <c r="B194" s="120">
        <v>40821</v>
      </c>
      <c r="C194" s="121">
        <v>0.38361000000000001</v>
      </c>
      <c r="D194" s="68">
        <f t="shared" si="2"/>
        <v>-2.6700000000000057E-3</v>
      </c>
      <c r="E194" s="30"/>
      <c r="F194" s="30"/>
    </row>
    <row r="195" spans="2:6">
      <c r="B195" s="120">
        <v>40822</v>
      </c>
      <c r="C195" s="121">
        <v>0.38778000000000001</v>
      </c>
      <c r="D195" s="68">
        <f t="shared" si="2"/>
        <v>-4.170000000000007E-3</v>
      </c>
      <c r="E195" s="30"/>
      <c r="F195" s="30"/>
    </row>
    <row r="196" spans="2:6">
      <c r="B196" s="120">
        <v>40823</v>
      </c>
      <c r="C196" s="121">
        <v>0.39111000000000001</v>
      </c>
      <c r="D196" s="68">
        <f t="shared" si="2"/>
        <v>-3.3299999999999996E-3</v>
      </c>
      <c r="E196" s="30"/>
      <c r="F196" s="30"/>
    </row>
    <row r="197" spans="2:6">
      <c r="B197" s="120">
        <v>40826</v>
      </c>
      <c r="C197" s="121">
        <v>0.39417000000000002</v>
      </c>
      <c r="D197" s="68">
        <f t="shared" si="2"/>
        <v>-3.0600000000000072E-3</v>
      </c>
      <c r="E197" s="30"/>
      <c r="F197" s="30"/>
    </row>
    <row r="198" spans="2:6">
      <c r="B198" s="120">
        <v>40827</v>
      </c>
      <c r="C198" s="121">
        <v>0.39750000000000002</v>
      </c>
      <c r="D198" s="68">
        <f t="shared" ref="D198:D253" si="3">C197-C198</f>
        <v>-3.3299999999999996E-3</v>
      </c>
      <c r="E198" s="30"/>
      <c r="F198" s="30"/>
    </row>
    <row r="199" spans="2:6">
      <c r="B199" s="120">
        <v>40828</v>
      </c>
      <c r="C199" s="121">
        <v>0.40083000000000002</v>
      </c>
      <c r="D199" s="68">
        <f t="shared" si="3"/>
        <v>-3.3299999999999996E-3</v>
      </c>
      <c r="E199" s="30"/>
      <c r="F199" s="30"/>
    </row>
    <row r="200" spans="2:6">
      <c r="B200" s="120">
        <v>40829</v>
      </c>
      <c r="C200" s="121">
        <v>0.40305999999999997</v>
      </c>
      <c r="D200" s="68">
        <f t="shared" si="3"/>
        <v>-2.2299999999999542E-3</v>
      </c>
      <c r="E200" s="30"/>
      <c r="F200" s="30"/>
    </row>
    <row r="201" spans="2:6">
      <c r="B201" s="120">
        <v>40830</v>
      </c>
      <c r="C201" s="121">
        <v>0.40472000000000002</v>
      </c>
      <c r="D201" s="68">
        <f t="shared" si="3"/>
        <v>-1.6600000000000503E-3</v>
      </c>
      <c r="E201" s="30"/>
      <c r="F201" s="30"/>
    </row>
    <row r="202" spans="2:6">
      <c r="B202" s="120">
        <v>40833</v>
      </c>
      <c r="C202" s="121">
        <v>0.40583000000000002</v>
      </c>
      <c r="D202" s="68">
        <f t="shared" si="3"/>
        <v>-1.1099999999999999E-3</v>
      </c>
      <c r="E202" s="30"/>
      <c r="F202" s="30"/>
    </row>
    <row r="203" spans="2:6">
      <c r="B203" s="120">
        <v>40834</v>
      </c>
      <c r="C203" s="121">
        <v>0.40916999999999998</v>
      </c>
      <c r="D203" s="68">
        <f t="shared" si="3"/>
        <v>-3.3399999999999541E-3</v>
      </c>
      <c r="E203" s="30"/>
      <c r="F203" s="30"/>
    </row>
    <row r="204" spans="2:6">
      <c r="B204" s="120">
        <v>40835</v>
      </c>
      <c r="C204" s="121">
        <v>0.41166999999999998</v>
      </c>
      <c r="D204" s="68">
        <f t="shared" si="3"/>
        <v>-2.5000000000000022E-3</v>
      </c>
      <c r="E204" s="30"/>
      <c r="F204" s="30"/>
    </row>
    <row r="205" spans="2:6">
      <c r="B205" s="120">
        <v>40836</v>
      </c>
      <c r="C205" s="121">
        <v>0.41555999999999998</v>
      </c>
      <c r="D205" s="68">
        <f t="shared" si="3"/>
        <v>-3.8900000000000046E-3</v>
      </c>
      <c r="E205" s="30"/>
      <c r="F205" s="30"/>
    </row>
    <row r="206" spans="2:6">
      <c r="B206" s="120">
        <v>40837</v>
      </c>
      <c r="C206" s="121">
        <v>0.41832999999999998</v>
      </c>
      <c r="D206" s="68">
        <f t="shared" si="3"/>
        <v>-2.7699999999999947E-3</v>
      </c>
      <c r="E206" s="30"/>
      <c r="F206" s="30"/>
    </row>
    <row r="207" spans="2:6">
      <c r="B207" s="120">
        <v>40840</v>
      </c>
      <c r="C207" s="121">
        <v>0.42027999999999999</v>
      </c>
      <c r="D207" s="68">
        <f t="shared" si="3"/>
        <v>-1.9500000000000073E-3</v>
      </c>
      <c r="E207" s="30"/>
      <c r="F207" s="30"/>
    </row>
    <row r="208" spans="2:6">
      <c r="B208" s="120">
        <v>40841</v>
      </c>
      <c r="C208" s="121">
        <v>0.42221999999999998</v>
      </c>
      <c r="D208" s="68">
        <f t="shared" si="3"/>
        <v>-1.9399999999999973E-3</v>
      </c>
      <c r="E208" s="30"/>
      <c r="F208" s="30"/>
    </row>
    <row r="209" spans="2:6">
      <c r="B209" s="120">
        <v>40842</v>
      </c>
      <c r="C209" s="121">
        <v>0.42471999999999999</v>
      </c>
      <c r="D209" s="68">
        <f t="shared" si="3"/>
        <v>-2.5000000000000022E-3</v>
      </c>
      <c r="E209" s="30"/>
      <c r="F209" s="30"/>
    </row>
    <row r="210" spans="2:6">
      <c r="B210" s="120">
        <v>40843</v>
      </c>
      <c r="C210" s="121">
        <v>0.42806</v>
      </c>
      <c r="D210" s="68">
        <f t="shared" si="3"/>
        <v>-3.3400000000000096E-3</v>
      </c>
      <c r="E210" s="30"/>
      <c r="F210" s="30"/>
    </row>
    <row r="211" spans="2:6">
      <c r="B211" s="120">
        <v>40844</v>
      </c>
      <c r="C211" s="121">
        <v>0.42943999999999999</v>
      </c>
      <c r="D211" s="68">
        <f t="shared" si="3"/>
        <v>-1.3799999999999923E-3</v>
      </c>
      <c r="E211" s="30"/>
      <c r="F211" s="30"/>
    </row>
    <row r="212" spans="2:6">
      <c r="B212" s="120">
        <v>40847</v>
      </c>
      <c r="C212" s="121">
        <v>0.42943999999999999</v>
      </c>
      <c r="D212" s="68">
        <f t="shared" si="3"/>
        <v>0</v>
      </c>
      <c r="E212" s="30"/>
      <c r="F212" s="30"/>
    </row>
    <row r="213" spans="2:6">
      <c r="B213" s="120">
        <v>40848</v>
      </c>
      <c r="C213" s="121">
        <v>0.43167</v>
      </c>
      <c r="D213" s="68">
        <f t="shared" si="3"/>
        <v>-2.2300000000000098E-3</v>
      </c>
      <c r="E213" s="30"/>
      <c r="F213" s="30"/>
    </row>
    <row r="214" spans="2:6">
      <c r="B214" s="120">
        <v>40849</v>
      </c>
      <c r="C214" s="121">
        <v>0.43306</v>
      </c>
      <c r="D214" s="68">
        <f t="shared" si="3"/>
        <v>-1.3900000000000023E-3</v>
      </c>
      <c r="E214" s="30"/>
      <c r="F214" s="30"/>
    </row>
    <row r="215" spans="2:6">
      <c r="B215" s="120">
        <v>40850</v>
      </c>
      <c r="C215" s="121">
        <v>0.435</v>
      </c>
      <c r="D215" s="68">
        <f t="shared" si="3"/>
        <v>-1.9399999999999973E-3</v>
      </c>
      <c r="E215" s="30"/>
      <c r="F215" s="30"/>
    </row>
    <row r="216" spans="2:6">
      <c r="B216" s="120">
        <v>40851</v>
      </c>
      <c r="C216" s="121">
        <v>0.4375</v>
      </c>
      <c r="D216" s="68">
        <f t="shared" si="3"/>
        <v>-2.5000000000000022E-3</v>
      </c>
      <c r="E216" s="30"/>
      <c r="F216" s="30"/>
    </row>
    <row r="217" spans="2:6">
      <c r="B217" s="120">
        <v>40854</v>
      </c>
      <c r="C217" s="121">
        <v>0.44139</v>
      </c>
      <c r="D217" s="68">
        <f t="shared" si="3"/>
        <v>-3.8900000000000046E-3</v>
      </c>
      <c r="E217" s="30"/>
      <c r="F217" s="30"/>
    </row>
    <row r="218" spans="2:6">
      <c r="B218" s="120">
        <v>40855</v>
      </c>
      <c r="C218" s="121">
        <v>0.44417000000000001</v>
      </c>
      <c r="D218" s="68">
        <f t="shared" si="3"/>
        <v>-2.7800000000000047E-3</v>
      </c>
      <c r="E218" s="30"/>
      <c r="F218" s="30"/>
    </row>
    <row r="219" spans="2:6">
      <c r="B219" s="120">
        <v>40856</v>
      </c>
      <c r="C219" s="121">
        <v>0.44917000000000001</v>
      </c>
      <c r="D219" s="68">
        <f t="shared" si="3"/>
        <v>-5.0000000000000044E-3</v>
      </c>
      <c r="E219" s="30"/>
      <c r="F219" s="30"/>
    </row>
    <row r="220" spans="2:6">
      <c r="B220" s="120">
        <v>40857</v>
      </c>
      <c r="C220" s="121">
        <v>0.45278000000000002</v>
      </c>
      <c r="D220" s="68">
        <f t="shared" si="3"/>
        <v>-3.6100000000000021E-3</v>
      </c>
      <c r="E220" s="30"/>
      <c r="F220" s="30"/>
    </row>
    <row r="221" spans="2:6">
      <c r="B221" s="120">
        <v>40858</v>
      </c>
      <c r="C221" s="121">
        <v>0.45722000000000002</v>
      </c>
      <c r="D221" s="68">
        <f t="shared" si="3"/>
        <v>-4.4399999999999995E-3</v>
      </c>
      <c r="E221" s="30"/>
      <c r="F221" s="30"/>
    </row>
    <row r="222" spans="2:6">
      <c r="B222" s="120">
        <v>40861</v>
      </c>
      <c r="C222" s="121">
        <v>0.46056000000000002</v>
      </c>
      <c r="D222" s="68">
        <f t="shared" si="3"/>
        <v>-3.3400000000000096E-3</v>
      </c>
      <c r="E222" s="30"/>
      <c r="F222" s="30"/>
    </row>
    <row r="223" spans="2:6">
      <c r="B223" s="120">
        <v>40862</v>
      </c>
      <c r="C223" s="121">
        <v>0.46555999999999997</v>
      </c>
      <c r="D223" s="68">
        <f t="shared" si="3"/>
        <v>-4.9999999999999489E-3</v>
      </c>
      <c r="E223" s="30"/>
      <c r="F223" s="30"/>
    </row>
    <row r="224" spans="2:6">
      <c r="B224" s="120">
        <v>40863</v>
      </c>
      <c r="C224" s="121">
        <v>0.47110999999999997</v>
      </c>
      <c r="D224" s="68">
        <f t="shared" si="3"/>
        <v>-5.5499999999999994E-3</v>
      </c>
      <c r="E224" s="30"/>
      <c r="F224" s="30"/>
    </row>
    <row r="225" spans="2:6">
      <c r="B225" s="120">
        <v>40864</v>
      </c>
      <c r="C225" s="121">
        <v>0.47943999999999998</v>
      </c>
      <c r="D225" s="68">
        <f t="shared" si="3"/>
        <v>-8.3300000000000041E-3</v>
      </c>
      <c r="E225" s="30"/>
      <c r="F225" s="30"/>
    </row>
    <row r="226" spans="2:6">
      <c r="B226" s="120">
        <v>40865</v>
      </c>
      <c r="C226" s="121">
        <v>0.48777999999999999</v>
      </c>
      <c r="D226" s="68">
        <f t="shared" si="3"/>
        <v>-8.3400000000000141E-3</v>
      </c>
      <c r="E226" s="30"/>
      <c r="F226" s="30"/>
    </row>
    <row r="227" spans="2:6">
      <c r="B227" s="120">
        <v>40868</v>
      </c>
      <c r="C227" s="121">
        <v>0.495</v>
      </c>
      <c r="D227" s="68">
        <f t="shared" si="3"/>
        <v>-7.2200000000000042E-3</v>
      </c>
      <c r="E227" s="30"/>
      <c r="F227" s="30"/>
    </row>
    <row r="228" spans="2:6">
      <c r="B228" s="120">
        <v>40869</v>
      </c>
      <c r="C228" s="121">
        <v>0.50027999999999995</v>
      </c>
      <c r="D228" s="68">
        <f t="shared" si="3"/>
        <v>-5.2799999999999514E-3</v>
      </c>
      <c r="E228" s="30"/>
      <c r="F228" s="30"/>
    </row>
    <row r="229" spans="2:6">
      <c r="B229" s="120">
        <v>40870</v>
      </c>
      <c r="C229" s="121">
        <v>0.50610999999999995</v>
      </c>
      <c r="D229" s="68">
        <f t="shared" si="3"/>
        <v>-5.8300000000000018E-3</v>
      </c>
      <c r="E229" s="30"/>
      <c r="F229" s="30"/>
    </row>
    <row r="230" spans="2:6">
      <c r="B230" s="120">
        <v>40871</v>
      </c>
      <c r="C230" s="121">
        <v>0.51166999999999996</v>
      </c>
      <c r="D230" s="68">
        <f t="shared" si="3"/>
        <v>-5.5600000000000094E-3</v>
      </c>
      <c r="E230" s="30"/>
      <c r="F230" s="30"/>
    </row>
    <row r="231" spans="2:6">
      <c r="B231" s="120">
        <v>40872</v>
      </c>
      <c r="C231" s="121">
        <v>0.51805999999999996</v>
      </c>
      <c r="D231" s="68">
        <f t="shared" si="3"/>
        <v>-6.3900000000000068E-3</v>
      </c>
      <c r="E231" s="30"/>
      <c r="F231" s="30"/>
    </row>
    <row r="232" spans="2:6">
      <c r="B232" s="120">
        <v>40875</v>
      </c>
      <c r="C232" s="121">
        <v>0.52305999999999997</v>
      </c>
      <c r="D232" s="68">
        <f t="shared" si="3"/>
        <v>-5.0000000000000044E-3</v>
      </c>
      <c r="E232" s="30"/>
      <c r="F232" s="30"/>
    </row>
    <row r="233" spans="2:6">
      <c r="B233" s="120">
        <v>40876</v>
      </c>
      <c r="C233" s="121">
        <v>0.52693999999999996</v>
      </c>
      <c r="D233" s="68">
        <f t="shared" si="3"/>
        <v>-3.8799999999999946E-3</v>
      </c>
      <c r="E233" s="30"/>
      <c r="F233" s="30"/>
    </row>
    <row r="234" spans="2:6">
      <c r="B234" s="120">
        <v>40877</v>
      </c>
      <c r="C234" s="121">
        <v>0.52888999999999997</v>
      </c>
      <c r="D234" s="68">
        <f t="shared" si="3"/>
        <v>-1.9500000000000073E-3</v>
      </c>
      <c r="E234" s="30"/>
      <c r="F234" s="30"/>
    </row>
    <row r="235" spans="2:6">
      <c r="B235" s="120">
        <v>40878</v>
      </c>
      <c r="C235" s="121">
        <v>0.52722000000000002</v>
      </c>
      <c r="D235" s="68">
        <f t="shared" si="3"/>
        <v>1.6699999999999493E-3</v>
      </c>
      <c r="E235" s="30"/>
      <c r="F235" s="30"/>
    </row>
    <row r="236" spans="2:6">
      <c r="B236" s="120">
        <v>40879</v>
      </c>
      <c r="C236" s="121">
        <v>0.52832999999999997</v>
      </c>
      <c r="D236" s="68">
        <f t="shared" si="3"/>
        <v>-1.1099999999999444E-3</v>
      </c>
      <c r="E236" s="30"/>
      <c r="F236" s="30"/>
    </row>
    <row r="237" spans="2:6">
      <c r="B237" s="120">
        <v>40882</v>
      </c>
      <c r="C237" s="121">
        <v>0.53390000000000004</v>
      </c>
      <c r="D237" s="68">
        <f t="shared" si="3"/>
        <v>-5.5700000000000749E-3</v>
      </c>
      <c r="E237" s="30"/>
      <c r="F237" s="30"/>
    </row>
    <row r="238" spans="2:6">
      <c r="B238" s="120">
        <v>40883</v>
      </c>
      <c r="C238" s="121">
        <v>0.53774999999999995</v>
      </c>
      <c r="D238" s="68">
        <f t="shared" si="3"/>
        <v>-3.8499999999999091E-3</v>
      </c>
      <c r="E238" s="30"/>
      <c r="F238" s="30"/>
    </row>
    <row r="239" spans="2:6">
      <c r="B239" s="120">
        <v>40884</v>
      </c>
      <c r="C239" s="121">
        <v>0.54</v>
      </c>
      <c r="D239" s="68">
        <f t="shared" si="3"/>
        <v>-2.2500000000000853E-3</v>
      </c>
      <c r="E239" s="30"/>
      <c r="F239" s="30"/>
    </row>
    <row r="240" spans="2:6">
      <c r="B240" s="120">
        <v>40885</v>
      </c>
      <c r="C240" s="121">
        <v>0.54</v>
      </c>
      <c r="D240" s="68">
        <f t="shared" si="3"/>
        <v>0</v>
      </c>
      <c r="E240" s="30"/>
      <c r="F240" s="30"/>
    </row>
    <row r="241" spans="2:6">
      <c r="B241" s="120">
        <v>40886</v>
      </c>
      <c r="C241" s="121">
        <v>0.54174999999999995</v>
      </c>
      <c r="D241" s="68">
        <f t="shared" si="3"/>
        <v>-1.7499999999999183E-3</v>
      </c>
      <c r="E241" s="30"/>
      <c r="F241" s="30"/>
    </row>
    <row r="242" spans="2:6">
      <c r="B242" s="120">
        <v>40889</v>
      </c>
      <c r="C242" s="121">
        <v>0.54349999999999998</v>
      </c>
      <c r="D242" s="68">
        <f t="shared" si="3"/>
        <v>-1.7500000000000293E-3</v>
      </c>
      <c r="E242" s="30"/>
      <c r="F242" s="30"/>
    </row>
    <row r="243" spans="2:6">
      <c r="B243" s="120">
        <v>40890</v>
      </c>
      <c r="C243" s="121">
        <v>0.54625000000000001</v>
      </c>
      <c r="D243" s="68">
        <f t="shared" si="3"/>
        <v>-2.7500000000000302E-3</v>
      </c>
      <c r="E243" s="30"/>
      <c r="F243" s="30"/>
    </row>
    <row r="244" spans="2:6">
      <c r="B244" s="120">
        <v>40891</v>
      </c>
      <c r="C244" s="121">
        <v>0.55505000000000004</v>
      </c>
      <c r="D244" s="68">
        <f t="shared" si="3"/>
        <v>-8.80000000000003E-3</v>
      </c>
      <c r="E244" s="30"/>
      <c r="F244" s="30"/>
    </row>
    <row r="245" spans="2:6">
      <c r="B245" s="120">
        <v>40892</v>
      </c>
      <c r="C245" s="121">
        <v>0.55915000000000004</v>
      </c>
      <c r="D245" s="68">
        <f t="shared" si="3"/>
        <v>-4.0999999999999925E-3</v>
      </c>
      <c r="E245" s="30"/>
      <c r="F245" s="30"/>
    </row>
    <row r="246" spans="2:6">
      <c r="B246" s="120">
        <v>40893</v>
      </c>
      <c r="C246" s="121">
        <v>0.56315000000000004</v>
      </c>
      <c r="D246" s="68">
        <f t="shared" si="3"/>
        <v>-4.0000000000000036E-3</v>
      </c>
      <c r="E246" s="30"/>
      <c r="F246" s="30"/>
    </row>
    <row r="247" spans="2:6">
      <c r="B247" s="120">
        <v>40896</v>
      </c>
      <c r="C247" s="121">
        <v>0.56694999999999995</v>
      </c>
      <c r="D247" s="68">
        <f t="shared" si="3"/>
        <v>-3.7999999999999146E-3</v>
      </c>
      <c r="E247" s="30"/>
      <c r="F247" s="30"/>
    </row>
    <row r="248" spans="2:6">
      <c r="B248" s="120">
        <v>40897</v>
      </c>
      <c r="C248" s="121">
        <v>0.56974999999999998</v>
      </c>
      <c r="D248" s="68">
        <f t="shared" si="3"/>
        <v>-2.8000000000000247E-3</v>
      </c>
      <c r="E248" s="30"/>
      <c r="F248" s="30"/>
    </row>
    <row r="249" spans="2:6">
      <c r="B249" s="120">
        <v>40898</v>
      </c>
      <c r="C249" s="121">
        <v>0.57125000000000004</v>
      </c>
      <c r="D249" s="68">
        <f t="shared" si="3"/>
        <v>-1.5000000000000568E-3</v>
      </c>
      <c r="E249" s="30"/>
      <c r="F249" s="30"/>
    </row>
    <row r="250" spans="2:6">
      <c r="B250" s="120">
        <v>40899</v>
      </c>
      <c r="C250" s="121">
        <v>0.57374999999999998</v>
      </c>
      <c r="D250" s="68">
        <f t="shared" si="3"/>
        <v>-2.4999999999999467E-3</v>
      </c>
      <c r="E250" s="30"/>
      <c r="F250" s="30"/>
    </row>
    <row r="251" spans="2:6">
      <c r="B251" s="120">
        <v>40900</v>
      </c>
      <c r="C251" s="121">
        <v>0.57574999999999998</v>
      </c>
      <c r="D251" s="68">
        <f t="shared" si="3"/>
        <v>-2.0000000000000018E-3</v>
      </c>
      <c r="E251" s="30"/>
      <c r="F251" s="30"/>
    </row>
    <row r="252" spans="2:6">
      <c r="B252" s="120">
        <v>40905</v>
      </c>
      <c r="C252" s="121">
        <v>0.57925000000000004</v>
      </c>
      <c r="D252" s="68">
        <f t="shared" si="3"/>
        <v>-3.5000000000000586E-3</v>
      </c>
      <c r="E252" s="30"/>
      <c r="F252" s="30"/>
    </row>
    <row r="253" spans="2:6">
      <c r="B253" s="120">
        <v>40906</v>
      </c>
      <c r="C253" s="121">
        <v>0.58099999999999996</v>
      </c>
      <c r="D253" s="68">
        <f t="shared" si="3"/>
        <v>-1.7499999999999183E-3</v>
      </c>
      <c r="E253" s="30"/>
      <c r="F253" s="30"/>
    </row>
    <row r="254" spans="2:6">
      <c r="B254" s="120"/>
      <c r="C254" s="121"/>
      <c r="D254" s="68"/>
      <c r="E254" s="30"/>
      <c r="F254" s="30"/>
    </row>
    <row r="255" spans="2:6">
      <c r="B255" s="120"/>
      <c r="C255" s="121"/>
      <c r="D255" s="68"/>
      <c r="E255" s="30"/>
      <c r="F255" s="30"/>
    </row>
    <row r="256" spans="2:6">
      <c r="B256" s="120"/>
      <c r="C256" s="121"/>
      <c r="D256" s="68"/>
      <c r="E256" s="30"/>
      <c r="F256" s="30"/>
    </row>
    <row r="257" spans="2:6">
      <c r="B257" s="120"/>
      <c r="C257" s="121"/>
      <c r="D257" s="68"/>
      <c r="E257" s="30"/>
      <c r="F257" s="30"/>
    </row>
    <row r="258" spans="2:6">
      <c r="B258" s="120"/>
      <c r="C258" s="121"/>
      <c r="D258" s="68"/>
      <c r="E258" s="30"/>
      <c r="F258" s="30"/>
    </row>
    <row r="259" spans="2:6">
      <c r="B259" s="120"/>
      <c r="C259" s="121"/>
      <c r="D259" s="68"/>
      <c r="E259" s="30"/>
      <c r="F259" s="30"/>
    </row>
    <row r="260" spans="2:6">
      <c r="B260" s="120"/>
      <c r="C260" s="121"/>
      <c r="D260" s="68"/>
      <c r="E260" s="30"/>
      <c r="F260" s="30"/>
    </row>
    <row r="261" spans="2:6">
      <c r="B261" s="120"/>
      <c r="C261" s="121"/>
      <c r="D261" s="68"/>
      <c r="E261" s="30"/>
      <c r="F261" s="30"/>
    </row>
    <row r="262" spans="2:6">
      <c r="B262" s="120"/>
      <c r="C262" s="121"/>
      <c r="D262" s="68"/>
      <c r="E262" s="30"/>
      <c r="F262" s="30"/>
    </row>
    <row r="263" spans="2:6">
      <c r="B263" s="120"/>
      <c r="C263" s="121"/>
      <c r="D263" s="68"/>
      <c r="E263" s="30"/>
      <c r="F263" s="30"/>
    </row>
    <row r="264" spans="2:6">
      <c r="B264" s="120"/>
      <c r="C264" s="121"/>
      <c r="D264" s="68"/>
      <c r="E264" s="30"/>
      <c r="F264" s="30"/>
    </row>
    <row r="265" spans="2:6">
      <c r="B265" s="120"/>
      <c r="C265" s="121"/>
      <c r="D265" s="68"/>
      <c r="E265" s="30"/>
      <c r="F265" s="30"/>
    </row>
    <row r="266" spans="2:6">
      <c r="B266" s="120"/>
      <c r="C266" s="121"/>
      <c r="D266" s="68"/>
      <c r="E266" s="30"/>
      <c r="F266" s="30"/>
    </row>
    <row r="267" spans="2:6">
      <c r="B267" s="120"/>
      <c r="C267" s="121"/>
      <c r="D267" s="68"/>
      <c r="E267" s="30"/>
      <c r="F267" s="30"/>
    </row>
    <row r="268" spans="2:6">
      <c r="B268" s="120"/>
      <c r="C268" s="121"/>
      <c r="D268" s="68"/>
      <c r="E268" s="30"/>
      <c r="F268" s="30"/>
    </row>
    <row r="269" spans="2:6">
      <c r="B269" s="120"/>
      <c r="C269" s="121"/>
      <c r="D269" s="68"/>
      <c r="E269" s="30"/>
      <c r="F269" s="30"/>
    </row>
    <row r="270" spans="2:6">
      <c r="B270" s="120"/>
      <c r="C270" s="121"/>
      <c r="D270" s="68"/>
      <c r="E270" s="30"/>
      <c r="F270" s="30"/>
    </row>
    <row r="271" spans="2:6">
      <c r="B271" s="120"/>
      <c r="C271" s="121"/>
      <c r="D271" s="68"/>
      <c r="E271" s="30"/>
      <c r="F271" s="30"/>
    </row>
    <row r="272" spans="2:6">
      <c r="B272" s="120"/>
      <c r="C272" s="121"/>
      <c r="D272" s="68"/>
      <c r="E272" s="30"/>
      <c r="F272" s="30"/>
    </row>
    <row r="273" spans="2:6">
      <c r="B273" s="120"/>
      <c r="C273" s="121"/>
      <c r="D273" s="68"/>
      <c r="E273" s="30"/>
      <c r="F273" s="30"/>
    </row>
    <row r="274" spans="2:6">
      <c r="B274" s="120"/>
      <c r="C274" s="121"/>
      <c r="D274" s="68"/>
      <c r="E274" s="30"/>
      <c r="F274" s="30"/>
    </row>
    <row r="275" spans="2:6">
      <c r="B275" s="120"/>
      <c r="C275" s="121"/>
      <c r="D275" s="68"/>
      <c r="E275" s="30"/>
      <c r="F275" s="30"/>
    </row>
    <row r="276" spans="2:6">
      <c r="B276" s="120"/>
      <c r="C276" s="121"/>
      <c r="D276" s="68"/>
      <c r="E276" s="30"/>
      <c r="F276" s="30"/>
    </row>
    <row r="277" spans="2:6">
      <c r="B277" s="120"/>
      <c r="C277" s="121"/>
      <c r="D277" s="68"/>
      <c r="E277" s="30"/>
      <c r="F277" s="30"/>
    </row>
    <row r="278" spans="2:6">
      <c r="B278" s="120"/>
      <c r="C278" s="121"/>
      <c r="D278" s="68"/>
      <c r="E278" s="30"/>
      <c r="F278" s="30"/>
    </row>
    <row r="279" spans="2:6">
      <c r="B279" s="120"/>
      <c r="C279" s="121"/>
      <c r="D279" s="68"/>
      <c r="E279" s="30"/>
      <c r="F279" s="30"/>
    </row>
    <row r="280" spans="2:6">
      <c r="B280" s="120"/>
      <c r="C280" s="121"/>
      <c r="D280" s="68"/>
      <c r="E280" s="30"/>
      <c r="F280" s="30"/>
    </row>
    <row r="281" spans="2:6">
      <c r="B281" s="120"/>
      <c r="C281" s="121"/>
      <c r="D281" s="68"/>
      <c r="E281" s="30"/>
      <c r="F281" s="30"/>
    </row>
    <row r="282" spans="2:6">
      <c r="B282" s="120"/>
      <c r="C282" s="121"/>
      <c r="D282" s="68"/>
      <c r="E282" s="30"/>
      <c r="F282" s="30"/>
    </row>
    <row r="283" spans="2:6">
      <c r="B283" s="120"/>
      <c r="C283" s="121"/>
      <c r="D283" s="68"/>
      <c r="E283" s="30"/>
      <c r="F283" s="30"/>
    </row>
    <row r="284" spans="2:6">
      <c r="B284" s="120"/>
      <c r="C284" s="121"/>
      <c r="D284" s="68"/>
      <c r="E284" s="30"/>
      <c r="F284" s="30"/>
    </row>
    <row r="285" spans="2:6">
      <c r="B285" s="120"/>
      <c r="C285" s="121"/>
      <c r="D285" s="68"/>
      <c r="E285" s="30"/>
      <c r="F285" s="30"/>
    </row>
    <row r="286" spans="2:6">
      <c r="B286" s="120"/>
      <c r="C286" s="121"/>
      <c r="D286" s="68"/>
      <c r="E286" s="30"/>
      <c r="F286" s="30"/>
    </row>
    <row r="287" spans="2:6">
      <c r="B287" s="120"/>
      <c r="C287" s="121"/>
      <c r="D287" s="68"/>
      <c r="E287" s="30"/>
      <c r="F287" s="30"/>
    </row>
    <row r="288" spans="2:6">
      <c r="B288" s="120"/>
      <c r="C288" s="121"/>
      <c r="D288" s="68"/>
      <c r="E288" s="30"/>
      <c r="F288" s="30"/>
    </row>
    <row r="289" spans="2:6">
      <c r="B289" s="120"/>
      <c r="C289" s="121"/>
      <c r="D289" s="68"/>
      <c r="E289" s="30"/>
      <c r="F289" s="30"/>
    </row>
    <row r="290" spans="2:6">
      <c r="B290" s="120"/>
      <c r="C290" s="121"/>
      <c r="D290" s="68"/>
      <c r="E290" s="30"/>
      <c r="F290" s="30"/>
    </row>
    <row r="291" spans="2:6">
      <c r="B291" s="120"/>
      <c r="C291" s="121"/>
      <c r="D291" s="68"/>
      <c r="E291" s="30"/>
      <c r="F291" s="30"/>
    </row>
    <row r="292" spans="2:6">
      <c r="B292" s="120"/>
      <c r="C292" s="121"/>
      <c r="D292" s="68"/>
      <c r="E292" s="30"/>
      <c r="F292" s="30"/>
    </row>
    <row r="293" spans="2:6">
      <c r="B293" s="120"/>
      <c r="C293" s="121"/>
      <c r="D293" s="68"/>
      <c r="E293" s="30"/>
      <c r="F293" s="30"/>
    </row>
    <row r="294" spans="2:6">
      <c r="B294" s="120"/>
      <c r="C294" s="121"/>
      <c r="D294" s="68"/>
      <c r="E294" s="30"/>
      <c r="F294" s="30"/>
    </row>
    <row r="295" spans="2:6">
      <c r="B295" s="120"/>
      <c r="C295" s="121"/>
      <c r="D295" s="68"/>
      <c r="E295" s="30"/>
      <c r="F295" s="30"/>
    </row>
    <row r="296" spans="2:6">
      <c r="B296" s="120"/>
      <c r="C296" s="121"/>
      <c r="D296" s="68"/>
      <c r="E296" s="30"/>
      <c r="F296" s="30"/>
    </row>
    <row r="297" spans="2:6">
      <c r="B297" s="120"/>
      <c r="C297" s="121"/>
      <c r="D297" s="68"/>
      <c r="E297" s="30"/>
      <c r="F297" s="30"/>
    </row>
    <row r="298" spans="2:6">
      <c r="B298" s="120"/>
      <c r="C298" s="121"/>
      <c r="D298" s="68"/>
      <c r="E298" s="30"/>
      <c r="F298" s="30"/>
    </row>
    <row r="299" spans="2:6">
      <c r="B299" s="120"/>
      <c r="C299" s="121"/>
      <c r="D299" s="68"/>
      <c r="E299" s="30"/>
      <c r="F299" s="30"/>
    </row>
    <row r="300" spans="2:6">
      <c r="B300" s="120"/>
      <c r="C300" s="121"/>
      <c r="D300" s="68"/>
      <c r="E300" s="30"/>
      <c r="F300" s="30"/>
    </row>
    <row r="301" spans="2:6">
      <c r="B301" s="120"/>
      <c r="C301" s="121"/>
      <c r="D301" s="68"/>
      <c r="E301" s="30"/>
      <c r="F301" s="30"/>
    </row>
    <row r="302" spans="2:6">
      <c r="B302" s="120"/>
      <c r="C302" s="121"/>
      <c r="D302" s="68"/>
      <c r="E302" s="30"/>
      <c r="F302" s="30"/>
    </row>
    <row r="303" spans="2:6">
      <c r="B303" s="120"/>
      <c r="C303" s="121"/>
      <c r="D303" s="68"/>
      <c r="E303" s="30"/>
      <c r="F303" s="30"/>
    </row>
    <row r="304" spans="2:6">
      <c r="B304" s="120"/>
      <c r="C304" s="121"/>
      <c r="D304" s="68"/>
      <c r="E304" s="30"/>
      <c r="F304" s="30"/>
    </row>
    <row r="305" spans="2:6">
      <c r="B305" s="120"/>
      <c r="C305" s="121"/>
      <c r="D305" s="68"/>
      <c r="E305" s="30"/>
      <c r="F305" s="30"/>
    </row>
    <row r="306" spans="2:6">
      <c r="B306" s="120"/>
      <c r="C306" s="121"/>
      <c r="D306" s="68"/>
      <c r="E306" s="30"/>
      <c r="F306" s="30"/>
    </row>
    <row r="307" spans="2:6">
      <c r="B307" s="120"/>
      <c r="C307" s="121"/>
      <c r="D307" s="68"/>
      <c r="E307" s="30"/>
      <c r="F307" s="30"/>
    </row>
    <row r="308" spans="2:6">
      <c r="B308" s="120"/>
      <c r="C308" s="121"/>
      <c r="D308" s="68"/>
      <c r="E308" s="30"/>
      <c r="F308" s="30"/>
    </row>
    <row r="309" spans="2:6">
      <c r="B309" s="120"/>
      <c r="C309" s="121"/>
      <c r="D309" s="68"/>
      <c r="E309" s="30"/>
      <c r="F309" s="30"/>
    </row>
    <row r="310" spans="2:6">
      <c r="B310" s="120"/>
      <c r="C310" s="121"/>
      <c r="D310" s="68"/>
      <c r="E310" s="30"/>
      <c r="F310" s="30"/>
    </row>
    <row r="311" spans="2:6">
      <c r="B311" s="120"/>
      <c r="C311" s="121"/>
      <c r="D311" s="68"/>
      <c r="E311" s="30"/>
      <c r="F311" s="30"/>
    </row>
    <row r="312" spans="2:6">
      <c r="B312" s="120"/>
      <c r="C312" s="121"/>
      <c r="D312" s="68"/>
      <c r="E312" s="30"/>
      <c r="F312" s="30"/>
    </row>
    <row r="313" spans="2:6">
      <c r="B313" s="120"/>
      <c r="C313" s="121"/>
      <c r="D313" s="68"/>
      <c r="E313" s="30"/>
      <c r="F313" s="30"/>
    </row>
    <row r="314" spans="2:6">
      <c r="B314" s="120"/>
      <c r="C314" s="121"/>
      <c r="D314" s="68"/>
      <c r="E314" s="30"/>
      <c r="F314" s="30"/>
    </row>
    <row r="315" spans="2:6">
      <c r="B315" s="120"/>
      <c r="C315" s="121"/>
      <c r="D315" s="68"/>
      <c r="E315" s="30"/>
      <c r="F315" s="30"/>
    </row>
    <row r="316" spans="2:6">
      <c r="B316" s="120"/>
      <c r="C316" s="121"/>
      <c r="D316" s="68"/>
      <c r="E316" s="30"/>
      <c r="F316" s="30"/>
    </row>
    <row r="317" spans="2:6">
      <c r="B317" s="120"/>
      <c r="C317" s="121"/>
      <c r="D317" s="68"/>
      <c r="E317" s="30"/>
      <c r="F317" s="30"/>
    </row>
    <row r="318" spans="2:6">
      <c r="B318" s="120"/>
      <c r="C318" s="121"/>
      <c r="D318" s="68"/>
      <c r="E318" s="30"/>
      <c r="F318" s="30"/>
    </row>
    <row r="319" spans="2:6">
      <c r="B319" s="120"/>
      <c r="C319" s="121"/>
      <c r="D319" s="68"/>
      <c r="E319" s="30"/>
      <c r="F319" s="30"/>
    </row>
    <row r="320" spans="2:6">
      <c r="B320" s="120"/>
      <c r="C320" s="121"/>
      <c r="D320" s="68"/>
      <c r="E320" s="30"/>
      <c r="F320" s="30"/>
    </row>
    <row r="321" spans="2:6">
      <c r="B321" s="120"/>
      <c r="C321" s="121"/>
      <c r="D321" s="68"/>
      <c r="E321" s="30"/>
      <c r="F321" s="30"/>
    </row>
    <row r="322" spans="2:6">
      <c r="B322" s="120"/>
      <c r="C322" s="121"/>
      <c r="D322" s="68"/>
      <c r="E322" s="30"/>
      <c r="F322" s="30"/>
    </row>
    <row r="323" spans="2:6">
      <c r="B323" s="120"/>
      <c r="C323" s="121"/>
      <c r="D323" s="68"/>
      <c r="E323" s="30"/>
      <c r="F323" s="30"/>
    </row>
    <row r="324" spans="2:6">
      <c r="B324" s="120"/>
      <c r="C324" s="121"/>
      <c r="D324" s="68"/>
      <c r="E324" s="30"/>
      <c r="F324" s="30"/>
    </row>
    <row r="325" spans="2:6">
      <c r="B325" s="120"/>
      <c r="C325" s="121"/>
      <c r="D325" s="68"/>
      <c r="E325" s="30"/>
      <c r="F325" s="30"/>
    </row>
    <row r="326" spans="2:6">
      <c r="B326" s="120"/>
      <c r="C326" s="121"/>
      <c r="D326" s="68"/>
      <c r="E326" s="30"/>
      <c r="F326" s="30"/>
    </row>
    <row r="327" spans="2:6">
      <c r="B327" s="120"/>
      <c r="C327" s="121"/>
      <c r="D327" s="68"/>
      <c r="E327" s="30"/>
      <c r="F327" s="30"/>
    </row>
    <row r="328" spans="2:6">
      <c r="B328" s="120"/>
      <c r="C328" s="121"/>
      <c r="D328" s="68"/>
      <c r="E328" s="30"/>
      <c r="F328" s="30"/>
    </row>
    <row r="329" spans="2:6">
      <c r="B329" s="120"/>
      <c r="C329" s="121"/>
      <c r="D329" s="68"/>
      <c r="E329" s="30"/>
      <c r="F329" s="30"/>
    </row>
    <row r="330" spans="2:6">
      <c r="B330" s="120"/>
      <c r="C330" s="121"/>
      <c r="D330" s="68"/>
      <c r="E330" s="30"/>
      <c r="F330" s="30"/>
    </row>
    <row r="331" spans="2:6">
      <c r="B331" s="120"/>
      <c r="C331" s="121"/>
      <c r="D331" s="68"/>
      <c r="E331" s="30"/>
      <c r="F331" s="30"/>
    </row>
    <row r="332" spans="2:6">
      <c r="B332" s="120"/>
      <c r="C332" s="121"/>
      <c r="D332" s="68"/>
      <c r="E332" s="30"/>
      <c r="F332" s="30"/>
    </row>
    <row r="333" spans="2:6">
      <c r="B333" s="120"/>
      <c r="C333" s="121"/>
      <c r="D333" s="68"/>
      <c r="E333" s="30"/>
      <c r="F333" s="30"/>
    </row>
    <row r="334" spans="2:6">
      <c r="B334" s="120"/>
      <c r="C334" s="121"/>
      <c r="D334" s="68"/>
      <c r="E334" s="30"/>
      <c r="F334" s="30"/>
    </row>
    <row r="335" spans="2:6">
      <c r="B335" s="120"/>
      <c r="C335" s="121"/>
      <c r="D335" s="68"/>
      <c r="E335" s="30"/>
      <c r="F335" s="30"/>
    </row>
    <row r="336" spans="2:6">
      <c r="B336" s="120"/>
      <c r="C336" s="121"/>
      <c r="D336" s="68"/>
      <c r="E336" s="30"/>
      <c r="F336" s="30"/>
    </row>
    <row r="337" spans="2:6">
      <c r="B337" s="120"/>
      <c r="C337" s="121"/>
      <c r="D337" s="68"/>
      <c r="E337" s="30"/>
      <c r="F337" s="30"/>
    </row>
    <row r="338" spans="2:6">
      <c r="B338" s="120"/>
      <c r="C338" s="121"/>
      <c r="D338" s="68"/>
      <c r="E338" s="30"/>
      <c r="F338" s="30"/>
    </row>
    <row r="339" spans="2:6">
      <c r="B339" s="120"/>
      <c r="C339" s="121"/>
      <c r="D339" s="68"/>
      <c r="E339" s="30"/>
      <c r="F339" s="30"/>
    </row>
    <row r="340" spans="2:6">
      <c r="B340" s="120"/>
      <c r="C340" s="121"/>
      <c r="D340" s="68"/>
      <c r="E340" s="30"/>
      <c r="F340" s="30"/>
    </row>
    <row r="341" spans="2:6">
      <c r="B341" s="120"/>
      <c r="C341" s="121"/>
      <c r="D341" s="68"/>
      <c r="E341" s="30"/>
      <c r="F341" s="30"/>
    </row>
    <row r="342" spans="2:6">
      <c r="B342" s="120"/>
      <c r="C342" s="121"/>
      <c r="D342" s="68"/>
      <c r="E342" s="30"/>
      <c r="F342" s="30"/>
    </row>
    <row r="343" spans="2:6">
      <c r="B343" s="120"/>
      <c r="C343" s="121"/>
      <c r="D343" s="68"/>
      <c r="E343" s="30"/>
      <c r="F343" s="30"/>
    </row>
    <row r="344" spans="2:6">
      <c r="B344" s="120"/>
      <c r="C344" s="121"/>
      <c r="D344" s="68"/>
      <c r="E344" s="30"/>
      <c r="F344" s="30"/>
    </row>
    <row r="345" spans="2:6">
      <c r="B345" s="120"/>
      <c r="C345" s="121"/>
      <c r="D345" s="68"/>
      <c r="E345" s="30"/>
      <c r="F345" s="30"/>
    </row>
    <row r="346" spans="2:6">
      <c r="B346" s="120"/>
      <c r="C346" s="121"/>
      <c r="D346" s="68"/>
      <c r="E346" s="30"/>
      <c r="F346" s="30"/>
    </row>
    <row r="347" spans="2:6">
      <c r="B347" s="120"/>
      <c r="C347" s="121"/>
      <c r="D347" s="68"/>
      <c r="E347" s="30"/>
      <c r="F347" s="30"/>
    </row>
    <row r="348" spans="2:6">
      <c r="B348" s="120"/>
      <c r="C348" s="121"/>
      <c r="D348" s="68"/>
      <c r="E348" s="30"/>
      <c r="F348" s="30"/>
    </row>
    <row r="349" spans="2:6">
      <c r="B349" s="120"/>
      <c r="C349" s="121"/>
      <c r="D349" s="68"/>
      <c r="E349" s="30"/>
      <c r="F349" s="30"/>
    </row>
    <row r="350" spans="2:6">
      <c r="B350" s="120"/>
      <c r="C350" s="121"/>
      <c r="D350" s="68"/>
      <c r="E350" s="30"/>
      <c r="F350" s="30"/>
    </row>
    <row r="351" spans="2:6">
      <c r="B351" s="120"/>
      <c r="C351" s="121"/>
      <c r="D351" s="68"/>
      <c r="E351" s="30"/>
      <c r="F351" s="30"/>
    </row>
    <row r="352" spans="2:6">
      <c r="B352" s="120"/>
      <c r="C352" s="121"/>
      <c r="D352" s="68"/>
      <c r="E352" s="30"/>
      <c r="F352" s="30"/>
    </row>
    <row r="353" spans="2:6">
      <c r="B353" s="120"/>
      <c r="C353" s="121"/>
      <c r="D353" s="68"/>
      <c r="E353" s="30"/>
      <c r="F353" s="30"/>
    </row>
    <row r="354" spans="2:6">
      <c r="B354" s="120"/>
      <c r="C354" s="121"/>
      <c r="D354" s="68"/>
      <c r="E354" s="30"/>
      <c r="F354" s="30"/>
    </row>
    <row r="355" spans="2:6">
      <c r="B355" s="120"/>
      <c r="C355" s="121"/>
      <c r="D355" s="68"/>
      <c r="E355" s="30"/>
      <c r="F355" s="30"/>
    </row>
    <row r="356" spans="2:6">
      <c r="B356" s="120"/>
      <c r="C356" s="121"/>
      <c r="D356" s="68"/>
      <c r="E356" s="30"/>
      <c r="F356" s="30"/>
    </row>
    <row r="357" spans="2:6">
      <c r="B357" s="120"/>
      <c r="C357" s="121"/>
      <c r="D357" s="68"/>
      <c r="E357" s="30"/>
      <c r="F357" s="30"/>
    </row>
    <row r="358" spans="2:6">
      <c r="B358" s="120"/>
      <c r="C358" s="121"/>
      <c r="D358" s="68"/>
      <c r="E358" s="30"/>
      <c r="F358" s="30"/>
    </row>
    <row r="359" spans="2:6">
      <c r="B359" s="120"/>
      <c r="C359" s="121"/>
      <c r="D359" s="68"/>
      <c r="E359" s="30"/>
      <c r="F359" s="30"/>
    </row>
    <row r="360" spans="2:6">
      <c r="B360" s="120"/>
      <c r="C360" s="121"/>
      <c r="D360" s="68"/>
      <c r="E360" s="30"/>
      <c r="F360" s="30"/>
    </row>
    <row r="361" spans="2:6">
      <c r="B361" s="120"/>
      <c r="C361" s="121"/>
      <c r="D361" s="68"/>
      <c r="E361" s="30"/>
      <c r="F361" s="30"/>
    </row>
    <row r="362" spans="2:6">
      <c r="B362" s="120"/>
      <c r="C362" s="121"/>
      <c r="D362" s="68"/>
      <c r="E362" s="30"/>
      <c r="F362" s="30"/>
    </row>
    <row r="363" spans="2:6">
      <c r="B363" s="120"/>
      <c r="C363" s="121"/>
      <c r="D363" s="68"/>
      <c r="E363" s="30"/>
      <c r="F363" s="30"/>
    </row>
    <row r="364" spans="2:6">
      <c r="B364" s="120"/>
      <c r="C364" s="121"/>
      <c r="D364" s="68"/>
      <c r="E364" s="30"/>
      <c r="F364" s="30"/>
    </row>
    <row r="365" spans="2:6">
      <c r="B365" s="120"/>
      <c r="C365" s="121"/>
      <c r="D365" s="68"/>
      <c r="E365" s="30"/>
      <c r="F365" s="30"/>
    </row>
    <row r="366" spans="2:6">
      <c r="B366" s="120"/>
      <c r="C366" s="121"/>
      <c r="D366" s="68"/>
      <c r="E366" s="30"/>
      <c r="F366" s="30"/>
    </row>
    <row r="367" spans="2:6">
      <c r="B367" s="120"/>
      <c r="C367" s="121"/>
      <c r="D367" s="68"/>
      <c r="E367" s="30"/>
      <c r="F367" s="30"/>
    </row>
    <row r="368" spans="2:6">
      <c r="B368" s="120"/>
      <c r="C368" s="121"/>
      <c r="D368" s="68"/>
      <c r="E368" s="30"/>
      <c r="F368" s="30"/>
    </row>
    <row r="369" spans="2:6">
      <c r="B369" s="120"/>
      <c r="C369" s="121"/>
      <c r="D369" s="68"/>
      <c r="E369" s="30"/>
      <c r="F369" s="30"/>
    </row>
    <row r="370" spans="2:6">
      <c r="B370" s="120"/>
      <c r="C370" s="121"/>
      <c r="D370" s="68"/>
      <c r="E370" s="30"/>
      <c r="F370" s="30"/>
    </row>
    <row r="371" spans="2:6">
      <c r="B371" s="120"/>
      <c r="C371" s="121"/>
      <c r="D371" s="68"/>
      <c r="E371" s="30"/>
      <c r="F371" s="30"/>
    </row>
    <row r="372" spans="2:6">
      <c r="B372" s="120"/>
      <c r="C372" s="121"/>
      <c r="D372" s="68"/>
      <c r="E372" s="30"/>
      <c r="F372" s="30"/>
    </row>
    <row r="373" spans="2:6">
      <c r="B373" s="120"/>
      <c r="C373" s="121"/>
      <c r="D373" s="68"/>
      <c r="E373" s="30"/>
      <c r="F373" s="30"/>
    </row>
    <row r="374" spans="2:6">
      <c r="B374" s="120"/>
      <c r="C374" s="121"/>
      <c r="D374" s="68"/>
      <c r="E374" s="30"/>
      <c r="F374" s="30"/>
    </row>
    <row r="375" spans="2:6">
      <c r="B375" s="120"/>
      <c r="C375" s="121"/>
      <c r="D375" s="68"/>
      <c r="E375" s="30"/>
      <c r="F375" s="30"/>
    </row>
    <row r="376" spans="2:6">
      <c r="B376" s="120"/>
      <c r="C376" s="121"/>
      <c r="D376" s="68"/>
      <c r="E376" s="30"/>
      <c r="F376" s="30"/>
    </row>
    <row r="377" spans="2:6">
      <c r="B377" s="120"/>
      <c r="C377" s="121"/>
      <c r="D377" s="68"/>
      <c r="E377" s="30"/>
      <c r="F377" s="30"/>
    </row>
    <row r="378" spans="2:6">
      <c r="B378" s="120"/>
      <c r="C378" s="121"/>
      <c r="D378" s="68"/>
      <c r="E378" s="30"/>
      <c r="F378" s="30"/>
    </row>
    <row r="379" spans="2:6">
      <c r="B379" s="120"/>
      <c r="C379" s="121"/>
      <c r="D379" s="68"/>
      <c r="E379" s="30"/>
      <c r="F379" s="30"/>
    </row>
    <row r="380" spans="2:6">
      <c r="B380" s="120"/>
      <c r="C380" s="121"/>
      <c r="D380" s="68"/>
      <c r="E380" s="30"/>
      <c r="F380" s="30"/>
    </row>
    <row r="381" spans="2:6">
      <c r="B381" s="120"/>
      <c r="C381" s="121"/>
      <c r="D381" s="68"/>
      <c r="E381" s="30"/>
      <c r="F381" s="30"/>
    </row>
    <row r="382" spans="2:6">
      <c r="B382" s="120"/>
      <c r="C382" s="121"/>
      <c r="D382" s="68"/>
      <c r="E382" s="30"/>
      <c r="F382" s="30"/>
    </row>
    <row r="383" spans="2:6">
      <c r="B383" s="120"/>
      <c r="C383" s="121"/>
      <c r="D383" s="68"/>
      <c r="E383" s="30"/>
      <c r="F383" s="30"/>
    </row>
    <row r="384" spans="2:6">
      <c r="B384" s="120"/>
      <c r="C384" s="121"/>
      <c r="D384" s="68"/>
      <c r="E384" s="30"/>
      <c r="F384" s="30"/>
    </row>
    <row r="385" spans="2:6">
      <c r="B385" s="120"/>
      <c r="C385" s="121"/>
      <c r="D385" s="68"/>
      <c r="E385" s="30"/>
      <c r="F385" s="30"/>
    </row>
    <row r="386" spans="2:6">
      <c r="B386" s="120"/>
      <c r="C386" s="121"/>
      <c r="D386" s="68"/>
      <c r="E386" s="30"/>
      <c r="F386" s="30"/>
    </row>
    <row r="387" spans="2:6">
      <c r="B387" s="120"/>
      <c r="C387" s="121"/>
      <c r="D387" s="68"/>
      <c r="E387" s="30"/>
      <c r="F387" s="30"/>
    </row>
    <row r="388" spans="2:6">
      <c r="B388" s="120"/>
      <c r="C388" s="121"/>
      <c r="D388" s="68"/>
      <c r="E388" s="30"/>
      <c r="F388" s="30"/>
    </row>
    <row r="389" spans="2:6">
      <c r="B389" s="120"/>
      <c r="C389" s="121"/>
      <c r="D389" s="68"/>
      <c r="E389" s="30"/>
      <c r="F389" s="30"/>
    </row>
    <row r="390" spans="2:6">
      <c r="B390" s="120"/>
      <c r="C390" s="121"/>
      <c r="D390" s="68"/>
      <c r="E390" s="30"/>
      <c r="F390" s="30"/>
    </row>
    <row r="391" spans="2:6">
      <c r="B391" s="120"/>
      <c r="C391" s="121"/>
      <c r="D391" s="68"/>
      <c r="E391" s="30"/>
      <c r="F391" s="30"/>
    </row>
    <row r="392" spans="2:6">
      <c r="B392" s="120"/>
      <c r="C392" s="121"/>
      <c r="D392" s="68"/>
      <c r="E392" s="30"/>
      <c r="F392" s="30"/>
    </row>
    <row r="393" spans="2:6">
      <c r="B393" s="120"/>
      <c r="C393" s="121"/>
      <c r="D393" s="68"/>
      <c r="E393" s="30"/>
      <c r="F393" s="30"/>
    </row>
    <row r="394" spans="2:6">
      <c r="B394" s="120"/>
      <c r="C394" s="121"/>
      <c r="D394" s="68"/>
      <c r="E394" s="30"/>
      <c r="F394" s="30"/>
    </row>
    <row r="395" spans="2:6">
      <c r="B395" s="120"/>
      <c r="C395" s="121"/>
      <c r="D395" s="68"/>
      <c r="E395" s="30"/>
      <c r="F395" s="30"/>
    </row>
    <row r="396" spans="2:6">
      <c r="B396" s="120"/>
      <c r="C396" s="121"/>
      <c r="D396" s="68"/>
      <c r="E396" s="30"/>
      <c r="F396" s="30"/>
    </row>
    <row r="397" spans="2:6">
      <c r="B397" s="120"/>
      <c r="C397" s="121"/>
      <c r="D397" s="68"/>
      <c r="E397" s="30"/>
      <c r="F397" s="30"/>
    </row>
    <row r="398" spans="2:6">
      <c r="B398" s="120"/>
      <c r="C398" s="121"/>
      <c r="D398" s="68"/>
      <c r="E398" s="30"/>
      <c r="F398" s="30"/>
    </row>
    <row r="399" spans="2:6">
      <c r="B399" s="120"/>
      <c r="C399" s="121"/>
      <c r="D399" s="68"/>
      <c r="E399" s="30"/>
      <c r="F399" s="30"/>
    </row>
    <row r="400" spans="2:6">
      <c r="B400" s="120"/>
      <c r="C400" s="121"/>
      <c r="D400" s="68"/>
      <c r="E400" s="30"/>
      <c r="F400" s="30"/>
    </row>
    <row r="401" spans="2:6">
      <c r="B401" s="120"/>
      <c r="C401" s="121"/>
      <c r="D401" s="68"/>
      <c r="E401" s="30"/>
      <c r="F401" s="30"/>
    </row>
    <row r="402" spans="2:6">
      <c r="B402" s="120"/>
      <c r="C402" s="121"/>
      <c r="D402" s="68"/>
      <c r="E402" s="30"/>
      <c r="F402" s="30"/>
    </row>
    <row r="403" spans="2:6">
      <c r="B403" s="120"/>
      <c r="C403" s="121"/>
      <c r="D403" s="68"/>
      <c r="E403" s="30"/>
      <c r="F403" s="30"/>
    </row>
    <row r="404" spans="2:6">
      <c r="B404" s="120"/>
      <c r="C404" s="121"/>
      <c r="D404" s="68"/>
      <c r="E404" s="30"/>
      <c r="F404" s="30"/>
    </row>
    <row r="405" spans="2:6">
      <c r="B405" s="120"/>
      <c r="C405" s="121"/>
      <c r="D405" s="68"/>
      <c r="E405" s="30"/>
      <c r="F405" s="30"/>
    </row>
    <row r="406" spans="2:6">
      <c r="B406" s="120"/>
      <c r="C406" s="121"/>
      <c r="D406" s="68"/>
      <c r="E406" s="30"/>
      <c r="F406" s="30"/>
    </row>
    <row r="407" spans="2:6">
      <c r="B407" s="120"/>
      <c r="C407" s="121"/>
      <c r="D407" s="68"/>
      <c r="E407" s="30"/>
      <c r="F407" s="30"/>
    </row>
    <row r="408" spans="2:6">
      <c r="B408" s="120"/>
      <c r="C408" s="121"/>
      <c r="D408" s="68"/>
      <c r="E408" s="30"/>
      <c r="F408" s="30"/>
    </row>
    <row r="409" spans="2:6">
      <c r="B409" s="120"/>
      <c r="C409" s="121"/>
      <c r="D409" s="68"/>
      <c r="E409" s="30"/>
      <c r="F409" s="30"/>
    </row>
    <row r="410" spans="2:6">
      <c r="B410" s="120"/>
      <c r="C410" s="121"/>
      <c r="D410" s="68"/>
      <c r="E410" s="30"/>
      <c r="F410" s="30"/>
    </row>
    <row r="411" spans="2:6">
      <c r="B411" s="120"/>
      <c r="C411" s="121"/>
      <c r="D411" s="68"/>
      <c r="E411" s="30"/>
      <c r="F411" s="30"/>
    </row>
    <row r="412" spans="2:6">
      <c r="B412" s="120"/>
      <c r="C412" s="121"/>
      <c r="D412" s="68"/>
      <c r="E412" s="30"/>
      <c r="F412" s="30"/>
    </row>
    <row r="413" spans="2:6">
      <c r="B413" s="120"/>
      <c r="C413" s="121"/>
      <c r="D413" s="68"/>
      <c r="E413" s="30"/>
      <c r="F413" s="30"/>
    </row>
    <row r="414" spans="2:6">
      <c r="B414" s="120"/>
      <c r="C414" s="121"/>
      <c r="D414" s="68"/>
      <c r="E414" s="30"/>
      <c r="F414" s="30"/>
    </row>
    <row r="415" spans="2:6">
      <c r="B415" s="120"/>
      <c r="C415" s="121"/>
      <c r="D415" s="68"/>
      <c r="E415" s="30"/>
      <c r="F415" s="30"/>
    </row>
    <row r="416" spans="2:6">
      <c r="B416" s="120"/>
      <c r="C416" s="121"/>
      <c r="D416" s="68"/>
      <c r="E416" s="30"/>
      <c r="F416" s="30"/>
    </row>
    <row r="417" spans="2:6">
      <c r="B417" s="120"/>
      <c r="C417" s="121"/>
      <c r="D417" s="68"/>
      <c r="E417" s="30"/>
      <c r="F417" s="30"/>
    </row>
    <row r="418" spans="2:6">
      <c r="B418" s="120"/>
      <c r="C418" s="121"/>
      <c r="D418" s="68"/>
      <c r="E418" s="30"/>
      <c r="F418" s="30"/>
    </row>
    <row r="419" spans="2:6">
      <c r="B419" s="120"/>
      <c r="C419" s="121"/>
      <c r="D419" s="68"/>
      <c r="E419" s="30"/>
      <c r="F419" s="30"/>
    </row>
    <row r="420" spans="2:6">
      <c r="B420" s="120"/>
      <c r="C420" s="121"/>
      <c r="D420" s="68"/>
      <c r="E420" s="30"/>
      <c r="F420" s="30"/>
    </row>
    <row r="421" spans="2:6">
      <c r="B421" s="120"/>
      <c r="C421" s="121"/>
      <c r="D421" s="68"/>
      <c r="E421" s="30"/>
      <c r="F421" s="30"/>
    </row>
    <row r="422" spans="2:6">
      <c r="B422" s="120"/>
      <c r="C422" s="121"/>
      <c r="D422" s="68"/>
      <c r="E422" s="30"/>
      <c r="F422" s="30"/>
    </row>
    <row r="423" spans="2:6">
      <c r="B423" s="120"/>
      <c r="C423" s="121"/>
      <c r="D423" s="68"/>
      <c r="E423" s="30"/>
      <c r="F423" s="30"/>
    </row>
    <row r="424" spans="2:6">
      <c r="B424" s="120"/>
      <c r="C424" s="121"/>
      <c r="D424" s="68"/>
      <c r="E424" s="30"/>
      <c r="F424" s="30"/>
    </row>
    <row r="425" spans="2:6">
      <c r="B425" s="120"/>
      <c r="C425" s="121"/>
      <c r="D425" s="68"/>
      <c r="E425" s="30"/>
      <c r="F425" s="30"/>
    </row>
    <row r="426" spans="2:6">
      <c r="B426" s="120"/>
      <c r="C426" s="121"/>
      <c r="D426" s="68"/>
      <c r="E426" s="30"/>
      <c r="F426" s="30"/>
    </row>
    <row r="427" spans="2:6">
      <c r="B427" s="120"/>
      <c r="C427" s="121"/>
      <c r="D427" s="68"/>
      <c r="E427" s="30"/>
      <c r="F427" s="30"/>
    </row>
    <row r="428" spans="2:6">
      <c r="B428" s="120"/>
      <c r="C428" s="121"/>
      <c r="D428" s="68"/>
      <c r="E428" s="30"/>
      <c r="F428" s="30"/>
    </row>
    <row r="429" spans="2:6">
      <c r="B429" s="120"/>
      <c r="C429" s="121"/>
      <c r="D429" s="68"/>
      <c r="E429" s="30"/>
      <c r="F429" s="30"/>
    </row>
    <row r="430" spans="2:6">
      <c r="B430" s="120"/>
      <c r="C430" s="121"/>
      <c r="D430" s="68"/>
      <c r="E430" s="30"/>
      <c r="F430" s="30"/>
    </row>
    <row r="431" spans="2:6">
      <c r="B431" s="120"/>
      <c r="C431" s="121"/>
      <c r="D431" s="68"/>
      <c r="E431" s="30"/>
      <c r="F431" s="30"/>
    </row>
    <row r="432" spans="2:6">
      <c r="B432" s="120"/>
      <c r="C432" s="121"/>
      <c r="D432" s="68"/>
      <c r="E432" s="30"/>
      <c r="F432" s="30"/>
    </row>
    <row r="433" spans="2:6">
      <c r="B433" s="120"/>
      <c r="C433" s="121"/>
      <c r="D433" s="68"/>
      <c r="E433" s="30"/>
      <c r="F433" s="30"/>
    </row>
    <row r="434" spans="2:6">
      <c r="B434" s="120"/>
      <c r="C434" s="121"/>
      <c r="D434" s="68"/>
      <c r="E434" s="30"/>
      <c r="F434" s="30"/>
    </row>
    <row r="435" spans="2:6">
      <c r="B435" s="120"/>
      <c r="C435" s="121"/>
      <c r="D435" s="68"/>
      <c r="E435" s="30"/>
      <c r="F435" s="30"/>
    </row>
    <row r="436" spans="2:6">
      <c r="B436" s="120"/>
      <c r="C436" s="121"/>
      <c r="D436" s="68"/>
      <c r="E436" s="30"/>
      <c r="F436" s="30"/>
    </row>
    <row r="437" spans="2:6">
      <c r="B437" s="120"/>
      <c r="C437" s="121"/>
      <c r="D437" s="68"/>
      <c r="E437" s="30"/>
      <c r="F437" s="30"/>
    </row>
    <row r="438" spans="2:6">
      <c r="B438" s="120"/>
      <c r="C438" s="121"/>
      <c r="D438" s="68"/>
      <c r="E438" s="30"/>
      <c r="F438" s="30"/>
    </row>
    <row r="439" spans="2:6">
      <c r="B439" s="120"/>
      <c r="C439" s="121"/>
      <c r="D439" s="68"/>
      <c r="E439" s="30"/>
      <c r="F439" s="30"/>
    </row>
    <row r="440" spans="2:6">
      <c r="B440" s="120"/>
      <c r="C440" s="121"/>
      <c r="D440" s="68"/>
      <c r="E440" s="30"/>
      <c r="F440" s="30"/>
    </row>
    <row r="441" spans="2:6">
      <c r="B441" s="120"/>
      <c r="C441" s="121"/>
      <c r="D441" s="68"/>
      <c r="E441" s="30"/>
      <c r="F441" s="30"/>
    </row>
    <row r="442" spans="2:6">
      <c r="B442" s="120"/>
      <c r="C442" s="121"/>
      <c r="D442" s="68"/>
      <c r="E442" s="30"/>
      <c r="F442" s="30"/>
    </row>
    <row r="443" spans="2:6">
      <c r="B443" s="120"/>
      <c r="C443" s="121"/>
      <c r="D443" s="68"/>
      <c r="E443" s="30"/>
      <c r="F443" s="30"/>
    </row>
    <row r="444" spans="2:6">
      <c r="B444" s="120"/>
      <c r="C444" s="121"/>
      <c r="D444" s="68"/>
      <c r="E444" s="30"/>
      <c r="F444" s="30"/>
    </row>
    <row r="445" spans="2:6">
      <c r="B445" s="120"/>
      <c r="C445" s="121"/>
      <c r="D445" s="68"/>
      <c r="E445" s="30"/>
      <c r="F445" s="30"/>
    </row>
    <row r="446" spans="2:6">
      <c r="B446" s="120"/>
      <c r="C446" s="121"/>
      <c r="D446" s="68"/>
      <c r="E446" s="30"/>
      <c r="F446" s="30"/>
    </row>
    <row r="447" spans="2:6">
      <c r="B447" s="120"/>
      <c r="C447" s="121"/>
      <c r="D447" s="68"/>
      <c r="E447" s="30"/>
      <c r="F447" s="30"/>
    </row>
    <row r="448" spans="2:6">
      <c r="B448" s="120"/>
      <c r="C448" s="121"/>
      <c r="D448" s="68"/>
      <c r="E448" s="30"/>
      <c r="F448" s="30"/>
    </row>
    <row r="449" spans="2:6">
      <c r="B449" s="120"/>
      <c r="C449" s="121"/>
      <c r="D449" s="68"/>
      <c r="E449" s="30"/>
      <c r="F449" s="30"/>
    </row>
    <row r="450" spans="2:6">
      <c r="B450" s="120"/>
      <c r="C450" s="121"/>
      <c r="D450" s="68"/>
      <c r="E450" s="30"/>
      <c r="F450" s="30"/>
    </row>
    <row r="451" spans="2:6">
      <c r="B451" s="120"/>
      <c r="C451" s="121"/>
      <c r="D451" s="68"/>
      <c r="E451" s="30"/>
      <c r="F451" s="30"/>
    </row>
    <row r="452" spans="2:6">
      <c r="B452" s="120"/>
      <c r="C452" s="121"/>
      <c r="D452" s="68"/>
      <c r="E452" s="30"/>
      <c r="F452" s="30"/>
    </row>
    <row r="453" spans="2:6">
      <c r="B453" s="120"/>
      <c r="C453" s="121"/>
      <c r="D453" s="68"/>
      <c r="E453" s="30"/>
      <c r="F453" s="30"/>
    </row>
    <row r="454" spans="2:6">
      <c r="B454" s="120"/>
      <c r="C454" s="121"/>
      <c r="D454" s="68"/>
      <c r="E454" s="30"/>
      <c r="F454" s="30"/>
    </row>
    <row r="455" spans="2:6">
      <c r="B455" s="120"/>
      <c r="C455" s="121"/>
      <c r="D455" s="68"/>
      <c r="E455" s="30"/>
      <c r="F455" s="30"/>
    </row>
    <row r="456" spans="2:6">
      <c r="B456" s="120"/>
      <c r="C456" s="121"/>
      <c r="D456" s="68"/>
      <c r="E456" s="30"/>
      <c r="F456" s="30"/>
    </row>
    <row r="457" spans="2:6">
      <c r="B457" s="120"/>
      <c r="C457" s="121"/>
      <c r="D457" s="68"/>
      <c r="E457" s="30"/>
      <c r="F457" s="30"/>
    </row>
    <row r="458" spans="2:6">
      <c r="B458" s="120"/>
      <c r="C458" s="121"/>
      <c r="D458" s="68"/>
      <c r="E458" s="30"/>
      <c r="F458" s="30"/>
    </row>
    <row r="459" spans="2:6">
      <c r="B459" s="120"/>
      <c r="C459" s="121"/>
      <c r="D459" s="68"/>
      <c r="E459" s="30"/>
      <c r="F459" s="30"/>
    </row>
    <row r="460" spans="2:6">
      <c r="B460" s="120"/>
      <c r="C460" s="121"/>
      <c r="D460" s="68"/>
      <c r="E460" s="30"/>
      <c r="F460" s="30"/>
    </row>
    <row r="461" spans="2:6">
      <c r="B461" s="120"/>
      <c r="C461" s="121"/>
      <c r="D461" s="68"/>
      <c r="E461" s="30"/>
      <c r="F461" s="30"/>
    </row>
    <row r="462" spans="2:6">
      <c r="B462" s="120"/>
      <c r="C462" s="121"/>
      <c r="D462" s="68"/>
      <c r="E462" s="30"/>
      <c r="F462" s="30"/>
    </row>
    <row r="463" spans="2:6">
      <c r="B463" s="120"/>
      <c r="C463" s="121"/>
      <c r="D463" s="68"/>
      <c r="E463" s="30"/>
      <c r="F463" s="30"/>
    </row>
    <row r="464" spans="2:6">
      <c r="B464" s="120"/>
      <c r="C464" s="121"/>
      <c r="D464" s="68"/>
      <c r="E464" s="30"/>
      <c r="F464" s="30"/>
    </row>
    <row r="465" spans="2:6">
      <c r="B465" s="120"/>
      <c r="C465" s="121"/>
      <c r="D465" s="68"/>
      <c r="E465" s="30"/>
      <c r="F465" s="30"/>
    </row>
    <row r="466" spans="2:6">
      <c r="B466" s="120"/>
      <c r="C466" s="121"/>
      <c r="D466" s="68"/>
      <c r="E466" s="30"/>
      <c r="F466" s="30"/>
    </row>
    <row r="467" spans="2:6">
      <c r="B467" s="120"/>
      <c r="C467" s="121"/>
      <c r="D467" s="68"/>
      <c r="E467" s="30"/>
      <c r="F467" s="30"/>
    </row>
    <row r="468" spans="2:6">
      <c r="B468" s="120"/>
      <c r="C468" s="121"/>
      <c r="D468" s="68"/>
      <c r="E468" s="30"/>
      <c r="F468" s="30"/>
    </row>
    <row r="469" spans="2:6">
      <c r="B469" s="120"/>
      <c r="C469" s="121"/>
      <c r="D469" s="68"/>
      <c r="E469" s="30"/>
      <c r="F469" s="30"/>
    </row>
    <row r="470" spans="2:6">
      <c r="B470" s="120"/>
      <c r="C470" s="121"/>
      <c r="D470" s="68"/>
      <c r="E470" s="30"/>
      <c r="F470" s="30"/>
    </row>
    <row r="471" spans="2:6">
      <c r="B471" s="120"/>
      <c r="C471" s="121"/>
      <c r="D471" s="68"/>
      <c r="E471" s="30"/>
      <c r="F471" s="30"/>
    </row>
    <row r="472" spans="2:6">
      <c r="B472" s="120"/>
      <c r="C472" s="121"/>
      <c r="D472" s="68"/>
      <c r="E472" s="30"/>
      <c r="F472" s="30"/>
    </row>
    <row r="473" spans="2:6">
      <c r="B473" s="120"/>
      <c r="C473" s="121"/>
      <c r="D473" s="68"/>
      <c r="E473" s="30"/>
      <c r="F473" s="30"/>
    </row>
    <row r="474" spans="2:6">
      <c r="B474" s="120"/>
      <c r="C474" s="121"/>
      <c r="D474" s="68"/>
      <c r="E474" s="30"/>
      <c r="F474" s="30"/>
    </row>
    <row r="475" spans="2:6">
      <c r="B475" s="120"/>
      <c r="C475" s="121"/>
      <c r="D475" s="68"/>
      <c r="E475" s="30"/>
      <c r="F475" s="30"/>
    </row>
    <row r="476" spans="2:6">
      <c r="B476" s="120"/>
      <c r="C476" s="121"/>
      <c r="D476" s="68"/>
      <c r="E476" s="30"/>
      <c r="F476" s="30"/>
    </row>
    <row r="477" spans="2:6">
      <c r="B477" s="120"/>
      <c r="C477" s="121"/>
      <c r="D477" s="68"/>
      <c r="E477" s="30"/>
      <c r="F477" s="30"/>
    </row>
    <row r="478" spans="2:6">
      <c r="B478" s="120"/>
      <c r="C478" s="121"/>
      <c r="D478" s="68"/>
      <c r="E478" s="30"/>
      <c r="F478" s="30"/>
    </row>
    <row r="479" spans="2:6">
      <c r="B479" s="120"/>
      <c r="C479" s="121"/>
      <c r="D479" s="68"/>
      <c r="E479" s="30"/>
      <c r="F479" s="30"/>
    </row>
    <row r="480" spans="2:6">
      <c r="B480" s="120"/>
      <c r="C480" s="121"/>
      <c r="D480" s="68"/>
      <c r="E480" s="30"/>
      <c r="F480" s="30"/>
    </row>
    <row r="481" spans="2:6">
      <c r="B481" s="120"/>
      <c r="C481" s="121"/>
      <c r="D481" s="68"/>
      <c r="E481" s="30"/>
      <c r="F481" s="30"/>
    </row>
    <row r="482" spans="2:6">
      <c r="B482" s="120"/>
      <c r="C482" s="121"/>
      <c r="D482" s="68"/>
      <c r="E482" s="30"/>
      <c r="F482" s="30"/>
    </row>
    <row r="483" spans="2:6">
      <c r="B483" s="120"/>
      <c r="C483" s="121"/>
      <c r="D483" s="68"/>
      <c r="E483" s="30"/>
      <c r="F483" s="30"/>
    </row>
    <row r="484" spans="2:6">
      <c r="B484" s="120"/>
      <c r="C484" s="121"/>
      <c r="D484" s="68"/>
      <c r="E484" s="30"/>
      <c r="F484" s="30"/>
    </row>
    <row r="485" spans="2:6">
      <c r="B485" s="120"/>
      <c r="C485" s="121"/>
      <c r="D485" s="68"/>
      <c r="E485" s="30"/>
      <c r="F485" s="30"/>
    </row>
    <row r="486" spans="2:6">
      <c r="B486" s="120"/>
      <c r="C486" s="121"/>
      <c r="D486" s="68"/>
      <c r="E486" s="30"/>
      <c r="F486" s="30"/>
    </row>
    <row r="487" spans="2:6">
      <c r="B487" s="120"/>
      <c r="C487" s="121"/>
      <c r="D487" s="68"/>
      <c r="E487" s="30"/>
      <c r="F487" s="30"/>
    </row>
    <row r="488" spans="2:6">
      <c r="B488" s="120"/>
      <c r="C488" s="121"/>
      <c r="D488" s="68"/>
      <c r="E488" s="30"/>
      <c r="F488" s="30"/>
    </row>
    <row r="489" spans="2:6">
      <c r="B489" s="120"/>
      <c r="C489" s="121"/>
      <c r="D489" s="68"/>
      <c r="E489" s="30"/>
      <c r="F489" s="30"/>
    </row>
    <row r="490" spans="2:6">
      <c r="B490" s="120"/>
      <c r="C490" s="121"/>
      <c r="D490" s="68"/>
      <c r="E490" s="30"/>
      <c r="F490" s="30"/>
    </row>
    <row r="491" spans="2:6">
      <c r="B491" s="120"/>
      <c r="C491" s="121"/>
      <c r="D491" s="68"/>
      <c r="E491" s="30"/>
      <c r="F491" s="30"/>
    </row>
    <row r="492" spans="2:6">
      <c r="B492" s="120"/>
      <c r="C492" s="121"/>
      <c r="D492" s="68"/>
      <c r="E492" s="30"/>
      <c r="F492" s="30"/>
    </row>
    <row r="493" spans="2:6">
      <c r="B493" s="120"/>
      <c r="C493" s="121"/>
      <c r="D493" s="68"/>
      <c r="E493" s="30"/>
      <c r="F493" s="30"/>
    </row>
    <row r="494" spans="2:6">
      <c r="B494" s="120"/>
      <c r="C494" s="121"/>
      <c r="D494" s="68"/>
      <c r="E494" s="30"/>
      <c r="F494" s="30"/>
    </row>
    <row r="495" spans="2:6">
      <c r="B495" s="120"/>
      <c r="C495" s="121"/>
      <c r="D495" s="68"/>
      <c r="E495" s="30"/>
      <c r="F495" s="30"/>
    </row>
    <row r="496" spans="2:6">
      <c r="B496" s="120"/>
      <c r="C496" s="121"/>
      <c r="D496" s="68"/>
      <c r="E496" s="30"/>
      <c r="F496" s="30"/>
    </row>
    <row r="497" spans="2:6">
      <c r="B497" s="120"/>
      <c r="C497" s="121"/>
      <c r="D497" s="68"/>
      <c r="E497" s="30"/>
      <c r="F497" s="30"/>
    </row>
    <row r="498" spans="2:6">
      <c r="B498" s="120"/>
      <c r="C498" s="121"/>
      <c r="D498" s="68"/>
      <c r="E498" s="30"/>
      <c r="F498" s="30"/>
    </row>
    <row r="499" spans="2:6">
      <c r="B499" s="120"/>
      <c r="C499" s="121"/>
      <c r="D499" s="68"/>
      <c r="E499" s="30"/>
      <c r="F499" s="30"/>
    </row>
    <row r="500" spans="2:6">
      <c r="B500" s="120"/>
      <c r="C500" s="121"/>
      <c r="D500" s="68"/>
      <c r="E500" s="30"/>
      <c r="F500" s="30"/>
    </row>
    <row r="501" spans="2:6">
      <c r="B501" s="120"/>
      <c r="C501" s="121"/>
      <c r="D501" s="68"/>
    </row>
    <row r="502" spans="2:6">
      <c r="B502" s="120"/>
      <c r="C502" s="121"/>
      <c r="D502" s="68"/>
    </row>
    <row r="503" spans="2:6">
      <c r="B503" s="120"/>
      <c r="C503" s="121"/>
      <c r="D503" s="68"/>
    </row>
    <row r="504" spans="2:6">
      <c r="B504" s="120"/>
      <c r="C504" s="121"/>
      <c r="D504" s="68"/>
    </row>
    <row r="505" spans="2:6">
      <c r="B505" s="120"/>
      <c r="C505" s="121"/>
      <c r="D505" s="68"/>
    </row>
    <row r="506" spans="2:6">
      <c r="B506" s="120"/>
      <c r="C506" s="121"/>
      <c r="D506" s="68"/>
    </row>
    <row r="507" spans="2:6">
      <c r="B507" s="120"/>
      <c r="C507" s="121"/>
      <c r="D507" s="68"/>
    </row>
    <row r="508" spans="2:6">
      <c r="B508" s="120"/>
      <c r="C508" s="121"/>
      <c r="D508" s="68"/>
    </row>
    <row r="509" spans="2:6">
      <c r="B509" s="120"/>
      <c r="C509" s="121"/>
      <c r="D509" s="68"/>
    </row>
    <row r="510" spans="2:6">
      <c r="B510" s="120"/>
      <c r="C510" s="121"/>
      <c r="D510" s="68"/>
    </row>
    <row r="511" spans="2:6">
      <c r="B511" s="120"/>
      <c r="C511" s="121"/>
      <c r="D511" s="68"/>
    </row>
    <row r="512" spans="2:6">
      <c r="B512" s="120"/>
      <c r="C512" s="121"/>
      <c r="D512" s="68"/>
    </row>
    <row r="513" spans="2:4">
      <c r="B513" s="120"/>
      <c r="C513" s="121"/>
      <c r="D513" s="68"/>
    </row>
    <row r="514" spans="2:4">
      <c r="B514" s="120"/>
      <c r="C514" s="121"/>
      <c r="D514" s="68"/>
    </row>
    <row r="515" spans="2:4">
      <c r="B515" s="120"/>
      <c r="C515" s="121"/>
      <c r="D515" s="68"/>
    </row>
    <row r="516" spans="2:4">
      <c r="B516" s="120"/>
      <c r="C516" s="121"/>
      <c r="D516" s="68"/>
    </row>
    <row r="517" spans="2:4">
      <c r="B517" s="120"/>
      <c r="C517" s="121"/>
      <c r="D517" s="68"/>
    </row>
    <row r="518" spans="2:4">
      <c r="B518" s="120"/>
      <c r="C518" s="121"/>
      <c r="D518" s="68"/>
    </row>
    <row r="519" spans="2:4">
      <c r="B519" s="120"/>
      <c r="C519" s="121"/>
      <c r="D519" s="68"/>
    </row>
    <row r="520" spans="2:4">
      <c r="B520" s="120"/>
      <c r="C520" s="121"/>
      <c r="D520" s="68"/>
    </row>
    <row r="521" spans="2:4">
      <c r="B521" s="120"/>
      <c r="C521" s="121"/>
      <c r="D521" s="68"/>
    </row>
    <row r="522" spans="2:4">
      <c r="B522" s="120"/>
      <c r="C522" s="121"/>
      <c r="D522" s="68"/>
    </row>
    <row r="523" spans="2:4">
      <c r="B523" s="120"/>
      <c r="C523" s="121"/>
      <c r="D523" s="68"/>
    </row>
    <row r="524" spans="2:4">
      <c r="B524" s="120"/>
      <c r="C524" s="121"/>
      <c r="D524" s="68"/>
    </row>
    <row r="525" spans="2:4">
      <c r="B525" s="120"/>
      <c r="C525" s="121"/>
      <c r="D525" s="68"/>
    </row>
    <row r="526" spans="2:4">
      <c r="B526" s="120"/>
      <c r="C526" s="121"/>
      <c r="D526" s="68"/>
    </row>
    <row r="527" spans="2:4">
      <c r="B527" s="120"/>
      <c r="C527" s="121"/>
      <c r="D527" s="68"/>
    </row>
    <row r="528" spans="2:4">
      <c r="B528" s="120"/>
      <c r="C528" s="121"/>
      <c r="D528" s="68"/>
    </row>
    <row r="529" spans="2:4">
      <c r="B529" s="120"/>
      <c r="C529" s="121"/>
      <c r="D529" s="68"/>
    </row>
    <row r="530" spans="2:4">
      <c r="B530" s="120"/>
      <c r="C530" s="121"/>
      <c r="D530" s="68"/>
    </row>
    <row r="531" spans="2:4">
      <c r="B531" s="120"/>
      <c r="C531" s="121"/>
      <c r="D531" s="68"/>
    </row>
    <row r="532" spans="2:4">
      <c r="B532" s="120"/>
      <c r="C532" s="121"/>
      <c r="D532" s="68"/>
    </row>
    <row r="533" spans="2:4">
      <c r="B533" s="120"/>
      <c r="C533" s="121"/>
      <c r="D533" s="68"/>
    </row>
    <row r="534" spans="2:4">
      <c r="B534" s="120"/>
      <c r="C534" s="121"/>
      <c r="D534" s="68"/>
    </row>
    <row r="535" spans="2:4">
      <c r="B535" s="120"/>
      <c r="C535" s="121"/>
      <c r="D535" s="68"/>
    </row>
    <row r="536" spans="2:4">
      <c r="B536" s="120"/>
      <c r="C536" s="121"/>
      <c r="D536" s="68"/>
    </row>
    <row r="537" spans="2:4">
      <c r="B537" s="120"/>
      <c r="C537" s="121"/>
      <c r="D537" s="68"/>
    </row>
    <row r="538" spans="2:4">
      <c r="B538" s="120"/>
      <c r="C538" s="121"/>
      <c r="D538" s="68"/>
    </row>
    <row r="539" spans="2:4">
      <c r="B539" s="120"/>
      <c r="C539" s="121"/>
      <c r="D539" s="68"/>
    </row>
    <row r="540" spans="2:4">
      <c r="B540" s="120"/>
      <c r="C540" s="121"/>
      <c r="D540" s="68"/>
    </row>
    <row r="541" spans="2:4">
      <c r="B541" s="120"/>
      <c r="C541" s="121"/>
      <c r="D541" s="68"/>
    </row>
    <row r="542" spans="2:4">
      <c r="B542" s="120"/>
      <c r="C542" s="121"/>
      <c r="D542" s="68"/>
    </row>
    <row r="543" spans="2:4">
      <c r="B543" s="120"/>
      <c r="C543" s="121"/>
      <c r="D543" s="68"/>
    </row>
    <row r="544" spans="2:4">
      <c r="B544" s="120"/>
      <c r="C544" s="121"/>
      <c r="D544" s="68"/>
    </row>
    <row r="545" spans="2:4">
      <c r="B545" s="120"/>
      <c r="C545" s="121"/>
      <c r="D545" s="68"/>
    </row>
    <row r="546" spans="2:4">
      <c r="B546" s="120"/>
      <c r="C546" s="121"/>
      <c r="D546" s="68"/>
    </row>
    <row r="547" spans="2:4">
      <c r="B547" s="120"/>
      <c r="C547" s="121"/>
      <c r="D547" s="68"/>
    </row>
    <row r="548" spans="2:4">
      <c r="B548" s="120"/>
      <c r="C548" s="121"/>
      <c r="D548" s="68"/>
    </row>
    <row r="549" spans="2:4">
      <c r="B549" s="120"/>
      <c r="C549" s="121"/>
      <c r="D549" s="68"/>
    </row>
    <row r="550" spans="2:4">
      <c r="B550" s="120"/>
      <c r="C550" s="121"/>
      <c r="D550" s="68"/>
    </row>
    <row r="551" spans="2:4">
      <c r="B551" s="120"/>
      <c r="C551" s="121"/>
      <c r="D551" s="68"/>
    </row>
    <row r="552" spans="2:4">
      <c r="B552" s="120"/>
      <c r="C552" s="121"/>
      <c r="D552" s="68"/>
    </row>
    <row r="553" spans="2:4">
      <c r="B553" s="120"/>
      <c r="C553" s="121"/>
      <c r="D553" s="68"/>
    </row>
    <row r="554" spans="2:4">
      <c r="B554" s="120"/>
      <c r="C554" s="121"/>
      <c r="D554" s="68"/>
    </row>
    <row r="555" spans="2:4">
      <c r="B555" s="120"/>
      <c r="C555" s="121"/>
      <c r="D555" s="68"/>
    </row>
    <row r="556" spans="2:4">
      <c r="B556" s="120"/>
      <c r="C556" s="121"/>
      <c r="D556" s="68"/>
    </row>
    <row r="557" spans="2:4">
      <c r="B557" s="120"/>
      <c r="C557" s="121"/>
      <c r="D557" s="68"/>
    </row>
    <row r="558" spans="2:4">
      <c r="B558" s="120"/>
      <c r="C558" s="121"/>
      <c r="D558" s="68"/>
    </row>
    <row r="559" spans="2:4">
      <c r="B559" s="120"/>
      <c r="C559" s="121"/>
      <c r="D559" s="68"/>
    </row>
    <row r="560" spans="2:4">
      <c r="B560" s="120"/>
      <c r="C560" s="121"/>
      <c r="D560" s="68"/>
    </row>
    <row r="561" spans="2:4">
      <c r="B561" s="120"/>
      <c r="C561" s="121"/>
      <c r="D561" s="68"/>
    </row>
    <row r="562" spans="2:4">
      <c r="B562" s="120"/>
      <c r="C562" s="121"/>
      <c r="D562" s="68"/>
    </row>
    <row r="563" spans="2:4">
      <c r="B563" s="120"/>
      <c r="C563" s="121"/>
      <c r="D563" s="68"/>
    </row>
    <row r="564" spans="2:4">
      <c r="B564" s="120"/>
      <c r="C564" s="121"/>
      <c r="D564" s="68"/>
    </row>
    <row r="565" spans="2:4">
      <c r="B565" s="120"/>
      <c r="C565" s="121"/>
      <c r="D565" s="68"/>
    </row>
    <row r="566" spans="2:4">
      <c r="B566" s="120"/>
      <c r="C566" s="121"/>
      <c r="D566" s="68"/>
    </row>
    <row r="567" spans="2:4">
      <c r="B567" s="120"/>
      <c r="C567" s="121"/>
      <c r="D567" s="68"/>
    </row>
    <row r="568" spans="2:4">
      <c r="B568" s="120"/>
      <c r="C568" s="121"/>
      <c r="D568" s="68"/>
    </row>
    <row r="569" spans="2:4">
      <c r="B569" s="120"/>
      <c r="C569" s="121"/>
      <c r="D569" s="68"/>
    </row>
    <row r="570" spans="2:4">
      <c r="B570" s="120"/>
      <c r="C570" s="121"/>
      <c r="D570" s="68"/>
    </row>
    <row r="571" spans="2:4">
      <c r="B571" s="120"/>
      <c r="C571" s="121"/>
      <c r="D571" s="68"/>
    </row>
    <row r="572" spans="2:4">
      <c r="B572" s="120"/>
      <c r="C572" s="121"/>
      <c r="D572" s="68"/>
    </row>
    <row r="573" spans="2:4">
      <c r="B573" s="120"/>
      <c r="C573" s="121"/>
      <c r="D573" s="68"/>
    </row>
    <row r="574" spans="2:4">
      <c r="B574" s="120"/>
      <c r="C574" s="121"/>
      <c r="D574" s="68"/>
    </row>
    <row r="575" spans="2:4">
      <c r="B575" s="120"/>
      <c r="C575" s="121"/>
      <c r="D575" s="68"/>
    </row>
    <row r="576" spans="2:4">
      <c r="B576" s="120"/>
      <c r="C576" s="121"/>
      <c r="D576" s="68"/>
    </row>
    <row r="577" spans="2:4">
      <c r="B577" s="120"/>
      <c r="C577" s="121"/>
      <c r="D577" s="68"/>
    </row>
    <row r="578" spans="2:4">
      <c r="B578" s="120"/>
      <c r="C578" s="121"/>
      <c r="D578" s="68"/>
    </row>
    <row r="579" spans="2:4">
      <c r="B579" s="120"/>
      <c r="C579" s="121"/>
      <c r="D579" s="68"/>
    </row>
    <row r="580" spans="2:4">
      <c r="B580" s="120"/>
      <c r="C580" s="121"/>
      <c r="D580" s="68"/>
    </row>
    <row r="581" spans="2:4">
      <c r="B581" s="120"/>
      <c r="C581" s="121"/>
      <c r="D581" s="68"/>
    </row>
    <row r="582" spans="2:4">
      <c r="B582" s="120"/>
      <c r="C582" s="121"/>
      <c r="D582" s="68"/>
    </row>
    <row r="583" spans="2:4">
      <c r="B583" s="120"/>
      <c r="C583" s="121"/>
      <c r="D583" s="68"/>
    </row>
    <row r="584" spans="2:4">
      <c r="B584" s="120"/>
      <c r="C584" s="121"/>
      <c r="D584" s="68"/>
    </row>
    <row r="585" spans="2:4">
      <c r="B585" s="120"/>
      <c r="C585" s="121"/>
      <c r="D585" s="68"/>
    </row>
    <row r="586" spans="2:4">
      <c r="B586" s="120"/>
      <c r="C586" s="121"/>
      <c r="D586" s="68"/>
    </row>
    <row r="587" spans="2:4">
      <c r="B587" s="120"/>
      <c r="C587" s="121"/>
      <c r="D587" s="68"/>
    </row>
    <row r="588" spans="2:4">
      <c r="B588" s="120"/>
      <c r="C588" s="121"/>
      <c r="D588" s="68"/>
    </row>
    <row r="589" spans="2:4">
      <c r="B589" s="120"/>
      <c r="C589" s="121"/>
      <c r="D589" s="68"/>
    </row>
    <row r="590" spans="2:4">
      <c r="B590" s="120"/>
      <c r="C590" s="121"/>
      <c r="D590" s="68"/>
    </row>
    <row r="591" spans="2:4">
      <c r="B591" s="120"/>
      <c r="C591" s="121"/>
      <c r="D591" s="68"/>
    </row>
    <row r="592" spans="2:4">
      <c r="B592" s="120"/>
      <c r="C592" s="121"/>
      <c r="D592" s="68"/>
    </row>
    <row r="593" spans="2:4">
      <c r="B593" s="120"/>
      <c r="C593" s="121"/>
      <c r="D593" s="68"/>
    </row>
    <row r="594" spans="2:4">
      <c r="B594" s="120"/>
      <c r="C594" s="121"/>
      <c r="D594" s="68"/>
    </row>
    <row r="595" spans="2:4">
      <c r="B595" s="120"/>
      <c r="C595" s="121"/>
      <c r="D595" s="68"/>
    </row>
    <row r="596" spans="2:4">
      <c r="B596" s="120"/>
      <c r="C596" s="121"/>
      <c r="D596" s="68"/>
    </row>
    <row r="597" spans="2:4">
      <c r="B597" s="120"/>
      <c r="C597" s="121"/>
      <c r="D597" s="68"/>
    </row>
    <row r="598" spans="2:4">
      <c r="B598" s="120"/>
      <c r="C598" s="121"/>
      <c r="D598" s="68"/>
    </row>
    <row r="599" spans="2:4">
      <c r="B599" s="120"/>
      <c r="C599" s="121"/>
      <c r="D599" s="68"/>
    </row>
    <row r="600" spans="2:4">
      <c r="B600" s="120"/>
      <c r="C600" s="121"/>
      <c r="D600" s="68"/>
    </row>
    <row r="601" spans="2:4">
      <c r="B601" s="120"/>
      <c r="C601" s="121"/>
      <c r="D601" s="68"/>
    </row>
    <row r="602" spans="2:4">
      <c r="B602" s="120"/>
      <c r="C602" s="121"/>
      <c r="D602" s="68"/>
    </row>
    <row r="603" spans="2:4">
      <c r="B603" s="120"/>
      <c r="C603" s="121"/>
      <c r="D603" s="68"/>
    </row>
    <row r="604" spans="2:4">
      <c r="B604" s="120"/>
      <c r="C604" s="121"/>
      <c r="D604" s="68"/>
    </row>
    <row r="605" spans="2:4">
      <c r="B605" s="120"/>
      <c r="C605" s="121"/>
      <c r="D605" s="68"/>
    </row>
    <row r="606" spans="2:4">
      <c r="B606" s="120"/>
      <c r="C606" s="121"/>
      <c r="D606" s="68"/>
    </row>
    <row r="607" spans="2:4">
      <c r="B607" s="120"/>
      <c r="C607" s="121"/>
      <c r="D607" s="68"/>
    </row>
    <row r="608" spans="2:4">
      <c r="B608" s="120"/>
      <c r="C608" s="121"/>
      <c r="D608" s="68"/>
    </row>
    <row r="609" spans="2:4">
      <c r="B609" s="120"/>
      <c r="C609" s="121"/>
      <c r="D609" s="68"/>
    </row>
    <row r="610" spans="2:4">
      <c r="B610" s="120"/>
      <c r="C610" s="121"/>
      <c r="D610" s="68"/>
    </row>
    <row r="611" spans="2:4">
      <c r="B611" s="120"/>
      <c r="C611" s="121"/>
      <c r="D611" s="68"/>
    </row>
    <row r="612" spans="2:4">
      <c r="B612" s="120"/>
      <c r="C612" s="121"/>
      <c r="D612" s="68"/>
    </row>
    <row r="613" spans="2:4">
      <c r="B613" s="120"/>
      <c r="C613" s="121"/>
      <c r="D613" s="68"/>
    </row>
    <row r="614" spans="2:4">
      <c r="B614" s="120"/>
      <c r="C614" s="121"/>
      <c r="D614" s="68"/>
    </row>
    <row r="615" spans="2:4">
      <c r="B615" s="120"/>
      <c r="C615" s="121"/>
      <c r="D615" s="68"/>
    </row>
    <row r="616" spans="2:4">
      <c r="B616" s="120"/>
      <c r="C616" s="121"/>
      <c r="D616" s="68"/>
    </row>
    <row r="617" spans="2:4">
      <c r="B617" s="120"/>
      <c r="C617" s="121"/>
      <c r="D617" s="68"/>
    </row>
    <row r="618" spans="2:4">
      <c r="B618" s="120"/>
      <c r="C618" s="121"/>
      <c r="D618" s="68"/>
    </row>
    <row r="619" spans="2:4">
      <c r="B619" s="120"/>
      <c r="C619" s="121"/>
      <c r="D619" s="68"/>
    </row>
    <row r="620" spans="2:4">
      <c r="B620" s="120"/>
      <c r="C620" s="121"/>
      <c r="D620" s="68"/>
    </row>
    <row r="621" spans="2:4">
      <c r="B621" s="120"/>
      <c r="C621" s="121"/>
      <c r="D621" s="68"/>
    </row>
    <row r="622" spans="2:4">
      <c r="B622" s="120"/>
      <c r="C622" s="121"/>
      <c r="D622" s="68"/>
    </row>
    <row r="623" spans="2:4">
      <c r="B623" s="120"/>
      <c r="C623" s="121"/>
      <c r="D623" s="68"/>
    </row>
    <row r="624" spans="2:4">
      <c r="B624" s="120"/>
      <c r="C624" s="121"/>
      <c r="D624" s="68"/>
    </row>
    <row r="625" spans="2:4">
      <c r="B625" s="120"/>
      <c r="C625" s="121"/>
      <c r="D625" s="68"/>
    </row>
    <row r="626" spans="2:4">
      <c r="B626" s="120"/>
      <c r="C626" s="121"/>
      <c r="D626" s="68"/>
    </row>
    <row r="627" spans="2:4">
      <c r="B627" s="120"/>
      <c r="C627" s="121"/>
      <c r="D627" s="68"/>
    </row>
    <row r="628" spans="2:4">
      <c r="B628" s="120"/>
      <c r="C628" s="121"/>
      <c r="D628" s="68"/>
    </row>
    <row r="629" spans="2:4">
      <c r="B629" s="120"/>
      <c r="C629" s="121"/>
      <c r="D629" s="68"/>
    </row>
    <row r="630" spans="2:4">
      <c r="B630" s="120"/>
      <c r="C630" s="121"/>
      <c r="D630" s="68"/>
    </row>
    <row r="631" spans="2:4">
      <c r="B631" s="120"/>
      <c r="C631" s="121"/>
      <c r="D631" s="68"/>
    </row>
    <row r="632" spans="2:4">
      <c r="B632" s="120"/>
      <c r="C632" s="121"/>
      <c r="D632" s="68"/>
    </row>
    <row r="633" spans="2:4">
      <c r="B633" s="120"/>
      <c r="C633" s="121"/>
      <c r="D633" s="68"/>
    </row>
    <row r="634" spans="2:4">
      <c r="B634" s="120"/>
      <c r="C634" s="121"/>
      <c r="D634" s="68"/>
    </row>
    <row r="635" spans="2:4">
      <c r="B635" s="120"/>
      <c r="C635" s="121"/>
      <c r="D635" s="68"/>
    </row>
    <row r="636" spans="2:4">
      <c r="B636" s="120"/>
      <c r="C636" s="121"/>
      <c r="D636" s="68"/>
    </row>
    <row r="637" spans="2:4">
      <c r="B637" s="120"/>
      <c r="C637" s="121"/>
      <c r="D637" s="68"/>
    </row>
    <row r="638" spans="2:4">
      <c r="B638" s="120"/>
      <c r="C638" s="121"/>
      <c r="D638" s="68"/>
    </row>
    <row r="639" spans="2:4">
      <c r="B639" s="120"/>
      <c r="C639" s="121"/>
      <c r="D639" s="68"/>
    </row>
    <row r="640" spans="2:4">
      <c r="B640" s="120"/>
      <c r="C640" s="121"/>
      <c r="D640" s="68"/>
    </row>
    <row r="641" spans="2:4">
      <c r="B641" s="120"/>
      <c r="C641" s="121"/>
      <c r="D641" s="68"/>
    </row>
    <row r="642" spans="2:4">
      <c r="B642" s="120"/>
      <c r="C642" s="121"/>
      <c r="D642" s="68"/>
    </row>
    <row r="643" spans="2:4">
      <c r="B643" s="120"/>
      <c r="C643" s="121"/>
      <c r="D643" s="68"/>
    </row>
    <row r="644" spans="2:4">
      <c r="B644" s="120"/>
      <c r="C644" s="121"/>
      <c r="D644" s="68"/>
    </row>
    <row r="645" spans="2:4">
      <c r="B645" s="120"/>
      <c r="C645" s="121"/>
      <c r="D645" s="68"/>
    </row>
    <row r="646" spans="2:4">
      <c r="B646" s="120"/>
      <c r="C646" s="121"/>
      <c r="D646" s="68"/>
    </row>
    <row r="647" spans="2:4">
      <c r="B647" s="120"/>
      <c r="C647" s="121"/>
      <c r="D647" s="68"/>
    </row>
    <row r="648" spans="2:4">
      <c r="B648" s="120"/>
      <c r="C648" s="121"/>
      <c r="D648" s="68"/>
    </row>
    <row r="649" spans="2:4">
      <c r="B649" s="120"/>
      <c r="C649" s="121"/>
      <c r="D649" s="68"/>
    </row>
    <row r="650" spans="2:4">
      <c r="B650" s="120"/>
      <c r="C650" s="121"/>
      <c r="D650" s="68"/>
    </row>
    <row r="651" spans="2:4">
      <c r="B651" s="120"/>
      <c r="C651" s="121"/>
      <c r="D651" s="68"/>
    </row>
    <row r="652" spans="2:4">
      <c r="B652" s="120"/>
      <c r="C652" s="121"/>
      <c r="D652" s="68"/>
    </row>
    <row r="653" spans="2:4">
      <c r="B653" s="120"/>
      <c r="C653" s="121"/>
      <c r="D653" s="68"/>
    </row>
    <row r="654" spans="2:4">
      <c r="B654" s="120"/>
      <c r="C654" s="121"/>
      <c r="D654" s="68"/>
    </row>
    <row r="655" spans="2:4">
      <c r="B655" s="120"/>
      <c r="C655" s="121"/>
      <c r="D655" s="68"/>
    </row>
    <row r="656" spans="2:4">
      <c r="B656" s="120"/>
      <c r="C656" s="121"/>
      <c r="D656" s="68"/>
    </row>
    <row r="657" spans="2:4">
      <c r="B657" s="120"/>
      <c r="C657" s="121"/>
      <c r="D657" s="68"/>
    </row>
    <row r="658" spans="2:4">
      <c r="B658" s="120"/>
      <c r="C658" s="121"/>
      <c r="D658" s="68"/>
    </row>
    <row r="659" spans="2:4">
      <c r="B659" s="120"/>
      <c r="C659" s="121"/>
      <c r="D659" s="68"/>
    </row>
    <row r="660" spans="2:4">
      <c r="B660" s="120"/>
      <c r="C660" s="121"/>
      <c r="D660" s="68"/>
    </row>
    <row r="661" spans="2:4">
      <c r="B661" s="120"/>
      <c r="C661" s="121"/>
      <c r="D661" s="68"/>
    </row>
    <row r="662" spans="2:4">
      <c r="B662" s="120"/>
      <c r="C662" s="121"/>
      <c r="D662" s="68"/>
    </row>
    <row r="663" spans="2:4">
      <c r="B663" s="120"/>
      <c r="C663" s="121"/>
      <c r="D663" s="68"/>
    </row>
    <row r="664" spans="2:4">
      <c r="B664" s="120"/>
      <c r="C664" s="121"/>
      <c r="D664" s="68"/>
    </row>
    <row r="665" spans="2:4">
      <c r="B665" s="120"/>
      <c r="C665" s="121"/>
      <c r="D665" s="68"/>
    </row>
    <row r="666" spans="2:4">
      <c r="B666" s="120"/>
      <c r="C666" s="121"/>
      <c r="D666" s="68"/>
    </row>
    <row r="667" spans="2:4">
      <c r="B667" s="120"/>
      <c r="C667" s="121"/>
      <c r="D667" s="68"/>
    </row>
    <row r="668" spans="2:4">
      <c r="B668" s="120"/>
      <c r="C668" s="121"/>
      <c r="D668" s="68"/>
    </row>
    <row r="669" spans="2:4">
      <c r="B669" s="120"/>
      <c r="C669" s="121"/>
      <c r="D669" s="68"/>
    </row>
    <row r="670" spans="2:4">
      <c r="B670" s="120"/>
      <c r="C670" s="121"/>
      <c r="D670" s="68"/>
    </row>
    <row r="671" spans="2:4">
      <c r="B671" s="120"/>
      <c r="C671" s="121"/>
      <c r="D671" s="68"/>
    </row>
    <row r="672" spans="2:4">
      <c r="B672" s="120"/>
      <c r="C672" s="121"/>
      <c r="D672" s="68"/>
    </row>
    <row r="673" spans="2:4">
      <c r="B673" s="120"/>
      <c r="C673" s="121"/>
      <c r="D673" s="68"/>
    </row>
    <row r="674" spans="2:4">
      <c r="B674" s="120"/>
      <c r="C674" s="121"/>
      <c r="D674" s="68"/>
    </row>
    <row r="675" spans="2:4">
      <c r="B675" s="120"/>
      <c r="C675" s="121"/>
      <c r="D675" s="68"/>
    </row>
    <row r="676" spans="2:4">
      <c r="B676" s="120"/>
      <c r="C676" s="121"/>
      <c r="D676" s="68"/>
    </row>
    <row r="677" spans="2:4">
      <c r="B677" s="120"/>
      <c r="C677" s="121"/>
      <c r="D677" s="68"/>
    </row>
    <row r="678" spans="2:4">
      <c r="B678" s="120"/>
      <c r="C678" s="121"/>
      <c r="D678" s="68"/>
    </row>
    <row r="679" spans="2:4">
      <c r="B679" s="120"/>
      <c r="C679" s="121"/>
      <c r="D679" s="68"/>
    </row>
    <row r="680" spans="2:4">
      <c r="B680" s="120"/>
      <c r="C680" s="121"/>
      <c r="D680" s="68"/>
    </row>
    <row r="681" spans="2:4">
      <c r="B681" s="120"/>
      <c r="C681" s="121"/>
      <c r="D681" s="68"/>
    </row>
    <row r="682" spans="2:4">
      <c r="B682" s="120"/>
      <c r="C682" s="121"/>
      <c r="D682" s="68"/>
    </row>
    <row r="683" spans="2:4">
      <c r="B683" s="120"/>
      <c r="C683" s="121"/>
      <c r="D683" s="68"/>
    </row>
    <row r="684" spans="2:4">
      <c r="B684" s="120"/>
      <c r="C684" s="121"/>
      <c r="D684" s="68"/>
    </row>
    <row r="685" spans="2:4">
      <c r="B685" s="120"/>
      <c r="C685" s="121"/>
      <c r="D685" s="68"/>
    </row>
    <row r="686" spans="2:4">
      <c r="B686" s="120"/>
      <c r="C686" s="121"/>
      <c r="D686" s="68"/>
    </row>
    <row r="687" spans="2:4">
      <c r="B687" s="120"/>
      <c r="C687" s="121"/>
      <c r="D687" s="68"/>
    </row>
    <row r="688" spans="2:4">
      <c r="B688" s="120"/>
      <c r="C688" s="121"/>
      <c r="D688" s="68"/>
    </row>
    <row r="689" spans="2:4">
      <c r="B689" s="120"/>
      <c r="C689" s="121"/>
      <c r="D689" s="68"/>
    </row>
    <row r="690" spans="2:4">
      <c r="B690" s="120"/>
      <c r="C690" s="121"/>
      <c r="D690" s="68"/>
    </row>
    <row r="691" spans="2:4">
      <c r="B691" s="120"/>
      <c r="C691" s="121"/>
      <c r="D691" s="68"/>
    </row>
    <row r="692" spans="2:4">
      <c r="B692" s="120"/>
      <c r="C692" s="121"/>
      <c r="D692" s="68"/>
    </row>
    <row r="693" spans="2:4">
      <c r="B693" s="120"/>
      <c r="C693" s="121"/>
      <c r="D693" s="68"/>
    </row>
    <row r="694" spans="2:4">
      <c r="B694" s="120"/>
      <c r="C694" s="121"/>
      <c r="D694" s="68"/>
    </row>
    <row r="695" spans="2:4">
      <c r="B695" s="120"/>
      <c r="C695" s="121"/>
      <c r="D695" s="68"/>
    </row>
    <row r="696" spans="2:4">
      <c r="B696" s="120"/>
      <c r="C696" s="121"/>
      <c r="D696" s="68"/>
    </row>
    <row r="697" spans="2:4">
      <c r="B697" s="120"/>
      <c r="C697" s="121"/>
      <c r="D697" s="68"/>
    </row>
    <row r="698" spans="2:4">
      <c r="B698" s="120"/>
      <c r="C698" s="121"/>
      <c r="D698" s="68"/>
    </row>
    <row r="699" spans="2:4">
      <c r="B699" s="120"/>
      <c r="C699" s="121"/>
      <c r="D699" s="68"/>
    </row>
    <row r="700" spans="2:4">
      <c r="B700" s="120"/>
      <c r="C700" s="121"/>
      <c r="D700" s="68"/>
    </row>
    <row r="701" spans="2:4">
      <c r="B701" s="120"/>
      <c r="C701" s="121"/>
      <c r="D701" s="68"/>
    </row>
    <row r="702" spans="2:4">
      <c r="B702" s="120"/>
      <c r="C702" s="121"/>
      <c r="D702" s="68"/>
    </row>
    <row r="703" spans="2:4">
      <c r="B703" s="120"/>
      <c r="C703" s="121"/>
      <c r="D703" s="68"/>
    </row>
    <row r="704" spans="2:4">
      <c r="B704" s="120"/>
      <c r="C704" s="121"/>
      <c r="D704" s="68"/>
    </row>
    <row r="705" spans="2:4">
      <c r="B705" s="120"/>
      <c r="C705" s="121"/>
      <c r="D705" s="68"/>
    </row>
    <row r="706" spans="2:4">
      <c r="B706" s="120"/>
      <c r="C706" s="121"/>
      <c r="D706" s="68"/>
    </row>
    <row r="707" spans="2:4">
      <c r="B707" s="120"/>
      <c r="C707" s="121"/>
      <c r="D707" s="68"/>
    </row>
    <row r="708" spans="2:4">
      <c r="B708" s="120"/>
      <c r="C708" s="121"/>
      <c r="D708" s="68"/>
    </row>
    <row r="709" spans="2:4">
      <c r="B709" s="120"/>
      <c r="C709" s="121"/>
      <c r="D709" s="68"/>
    </row>
    <row r="710" spans="2:4">
      <c r="B710" s="120"/>
      <c r="C710" s="121"/>
      <c r="D710" s="68"/>
    </row>
    <row r="711" spans="2:4">
      <c r="B711" s="120"/>
      <c r="C711" s="121"/>
      <c r="D711" s="68"/>
    </row>
    <row r="712" spans="2:4">
      <c r="B712" s="120"/>
      <c r="C712" s="121"/>
      <c r="D712" s="68"/>
    </row>
    <row r="713" spans="2:4">
      <c r="B713" s="120"/>
      <c r="C713" s="121"/>
      <c r="D713" s="68"/>
    </row>
    <row r="714" spans="2:4">
      <c r="B714" s="120"/>
      <c r="C714" s="121"/>
      <c r="D714" s="68"/>
    </row>
    <row r="715" spans="2:4">
      <c r="B715" s="120"/>
      <c r="C715" s="121"/>
      <c r="D715" s="68"/>
    </row>
    <row r="716" spans="2:4">
      <c r="B716" s="120"/>
      <c r="C716" s="121"/>
      <c r="D716" s="68"/>
    </row>
    <row r="717" spans="2:4">
      <c r="B717" s="120"/>
      <c r="C717" s="121"/>
      <c r="D717" s="68"/>
    </row>
    <row r="718" spans="2:4">
      <c r="B718" s="120"/>
      <c r="C718" s="121"/>
      <c r="D718" s="68"/>
    </row>
    <row r="719" spans="2:4">
      <c r="B719" s="120"/>
      <c r="C719" s="121"/>
      <c r="D719" s="68"/>
    </row>
    <row r="720" spans="2:4">
      <c r="B720" s="120"/>
      <c r="C720" s="121"/>
      <c r="D720" s="68"/>
    </row>
    <row r="721" spans="2:4">
      <c r="B721" s="120"/>
      <c r="C721" s="121"/>
      <c r="D721" s="68"/>
    </row>
    <row r="722" spans="2:4">
      <c r="B722" s="120"/>
      <c r="C722" s="121"/>
      <c r="D722" s="68"/>
    </row>
    <row r="723" spans="2:4">
      <c r="B723" s="120"/>
      <c r="C723" s="121"/>
      <c r="D723" s="68"/>
    </row>
    <row r="724" spans="2:4">
      <c r="B724" s="120"/>
      <c r="C724" s="121"/>
      <c r="D724" s="68"/>
    </row>
    <row r="725" spans="2:4">
      <c r="B725" s="120"/>
      <c r="C725" s="121"/>
      <c r="D725" s="68"/>
    </row>
    <row r="726" spans="2:4">
      <c r="B726" s="120"/>
      <c r="C726" s="121"/>
      <c r="D726" s="68"/>
    </row>
    <row r="727" spans="2:4">
      <c r="B727" s="120"/>
      <c r="C727" s="121"/>
      <c r="D727" s="68"/>
    </row>
    <row r="728" spans="2:4">
      <c r="B728" s="120"/>
      <c r="C728" s="121"/>
      <c r="D728" s="68"/>
    </row>
    <row r="729" spans="2:4">
      <c r="B729" s="120"/>
      <c r="C729" s="121"/>
      <c r="D729" s="68"/>
    </row>
    <row r="730" spans="2:4">
      <c r="B730" s="120"/>
      <c r="C730" s="121"/>
      <c r="D730" s="68"/>
    </row>
    <row r="731" spans="2:4">
      <c r="B731" s="120"/>
      <c r="C731" s="121"/>
      <c r="D731" s="68"/>
    </row>
    <row r="732" spans="2:4">
      <c r="B732" s="120"/>
      <c r="C732" s="121"/>
      <c r="D732" s="68"/>
    </row>
    <row r="733" spans="2:4">
      <c r="B733" s="120"/>
      <c r="C733" s="121"/>
      <c r="D733" s="68"/>
    </row>
    <row r="734" spans="2:4">
      <c r="B734" s="120"/>
      <c r="C734" s="121"/>
      <c r="D734" s="68"/>
    </row>
    <row r="735" spans="2:4">
      <c r="B735" s="120"/>
      <c r="C735" s="121"/>
      <c r="D735" s="68"/>
    </row>
    <row r="736" spans="2:4">
      <c r="B736" s="120"/>
      <c r="C736" s="121"/>
      <c r="D736" s="68"/>
    </row>
    <row r="737" spans="2:4">
      <c r="B737" s="120"/>
      <c r="C737" s="121"/>
      <c r="D737" s="68"/>
    </row>
    <row r="738" spans="2:4">
      <c r="B738" s="120"/>
      <c r="C738" s="121"/>
      <c r="D738" s="68"/>
    </row>
    <row r="739" spans="2:4">
      <c r="B739" s="120"/>
      <c r="C739" s="121"/>
      <c r="D739" s="68"/>
    </row>
    <row r="740" spans="2:4">
      <c r="B740" s="120"/>
      <c r="C740" s="121"/>
      <c r="D740" s="68"/>
    </row>
    <row r="741" spans="2:4">
      <c r="B741" s="120"/>
      <c r="C741" s="121"/>
      <c r="D741" s="68"/>
    </row>
    <row r="742" spans="2:4">
      <c r="B742" s="120"/>
      <c r="C742" s="121"/>
      <c r="D742" s="68"/>
    </row>
    <row r="743" spans="2:4">
      <c r="B743" s="120"/>
      <c r="C743" s="121"/>
      <c r="D743" s="68"/>
    </row>
    <row r="744" spans="2:4">
      <c r="B744" s="120"/>
      <c r="C744" s="121"/>
      <c r="D744" s="68"/>
    </row>
    <row r="745" spans="2:4">
      <c r="B745" s="120"/>
      <c r="C745" s="121"/>
      <c r="D745" s="68"/>
    </row>
    <row r="746" spans="2:4">
      <c r="B746" s="120"/>
      <c r="C746" s="121"/>
      <c r="D746" s="68"/>
    </row>
    <row r="747" spans="2:4">
      <c r="B747" s="120"/>
      <c r="C747" s="121"/>
      <c r="D747" s="68"/>
    </row>
    <row r="748" spans="2:4">
      <c r="B748" s="120"/>
      <c r="C748" s="121"/>
      <c r="D748" s="68"/>
    </row>
    <row r="749" spans="2:4">
      <c r="B749" s="120"/>
      <c r="C749" s="121"/>
      <c r="D749" s="68"/>
    </row>
    <row r="750" spans="2:4">
      <c r="B750" s="120"/>
      <c r="C750" s="121"/>
      <c r="D750" s="68"/>
    </row>
    <row r="752" spans="2:4">
      <c r="D752" s="68"/>
    </row>
    <row r="753" spans="2:4">
      <c r="B753" s="120"/>
      <c r="C753" s="121"/>
      <c r="D753" s="68"/>
    </row>
    <row r="754" spans="2:4">
      <c r="B754" s="120"/>
      <c r="C754" s="121"/>
      <c r="D754" s="68"/>
    </row>
    <row r="755" spans="2:4">
      <c r="B755" s="120"/>
      <c r="C755" s="121"/>
      <c r="D755" s="68"/>
    </row>
    <row r="756" spans="2:4">
      <c r="B756" s="120"/>
      <c r="C756" s="121"/>
      <c r="D756" s="68"/>
    </row>
    <row r="757" spans="2:4">
      <c r="B757" s="120"/>
      <c r="C757" s="121"/>
      <c r="D757" s="68"/>
    </row>
    <row r="758" spans="2:4">
      <c r="B758" s="120"/>
      <c r="C758" s="121"/>
      <c r="D758" s="68"/>
    </row>
    <row r="759" spans="2:4">
      <c r="B759" s="120"/>
      <c r="C759" s="121"/>
      <c r="D759" s="68"/>
    </row>
    <row r="760" spans="2:4">
      <c r="B760" s="120"/>
      <c r="C760" s="121"/>
      <c r="D760" s="68"/>
    </row>
    <row r="761" spans="2:4">
      <c r="B761" s="120"/>
      <c r="C761" s="121"/>
      <c r="D761" s="68"/>
    </row>
    <row r="762" spans="2:4">
      <c r="B762" s="120"/>
      <c r="C762" s="121"/>
      <c r="D762" s="68"/>
    </row>
    <row r="763" spans="2:4">
      <c r="B763" s="120"/>
      <c r="C763" s="121"/>
      <c r="D763" s="68"/>
    </row>
    <row r="764" spans="2:4">
      <c r="B764" s="120"/>
      <c r="C764" s="121"/>
      <c r="D764" s="68"/>
    </row>
    <row r="765" spans="2:4">
      <c r="B765" s="120"/>
      <c r="C765" s="121"/>
      <c r="D765" s="68"/>
    </row>
    <row r="766" spans="2:4">
      <c r="B766" s="120"/>
      <c r="C766" s="121"/>
      <c r="D766" s="68"/>
    </row>
    <row r="767" spans="2:4">
      <c r="B767" s="120"/>
      <c r="C767" s="121"/>
      <c r="D767" s="68"/>
    </row>
    <row r="768" spans="2:4">
      <c r="B768" s="120"/>
      <c r="C768" s="121"/>
      <c r="D768" s="68"/>
    </row>
    <row r="769" spans="2:4">
      <c r="B769" s="120"/>
      <c r="C769" s="121"/>
      <c r="D769" s="68"/>
    </row>
    <row r="770" spans="2:4">
      <c r="B770" s="120"/>
      <c r="C770" s="121"/>
      <c r="D770" s="68"/>
    </row>
    <row r="771" spans="2:4">
      <c r="B771" s="120"/>
      <c r="C771" s="121"/>
      <c r="D771" s="68"/>
    </row>
    <row r="772" spans="2:4">
      <c r="B772" s="120"/>
      <c r="C772" s="121"/>
      <c r="D772" s="68"/>
    </row>
    <row r="773" spans="2:4">
      <c r="B773" s="120"/>
      <c r="C773" s="121"/>
      <c r="D773" s="68"/>
    </row>
    <row r="774" spans="2:4">
      <c r="B774" s="120"/>
      <c r="C774" s="121"/>
      <c r="D774" s="68"/>
    </row>
    <row r="775" spans="2:4">
      <c r="B775" s="120"/>
      <c r="C775" s="121"/>
      <c r="D775" s="68"/>
    </row>
    <row r="776" spans="2:4">
      <c r="B776" s="120"/>
      <c r="C776" s="121"/>
      <c r="D776" s="68"/>
    </row>
    <row r="777" spans="2:4">
      <c r="B777" s="120"/>
      <c r="C777" s="121"/>
      <c r="D777" s="68"/>
    </row>
    <row r="778" spans="2:4">
      <c r="B778" s="120"/>
      <c r="C778" s="121"/>
      <c r="D778" s="68"/>
    </row>
    <row r="779" spans="2:4">
      <c r="B779" s="120"/>
      <c r="C779" s="121"/>
      <c r="D779" s="68"/>
    </row>
    <row r="780" spans="2:4">
      <c r="B780" s="120"/>
      <c r="C780" s="121"/>
      <c r="D780" s="68"/>
    </row>
    <row r="781" spans="2:4">
      <c r="B781" s="120"/>
      <c r="C781" s="121"/>
      <c r="D781" s="68"/>
    </row>
    <row r="782" spans="2:4">
      <c r="B782" s="120"/>
      <c r="C782" s="121"/>
      <c r="D782" s="68"/>
    </row>
    <row r="783" spans="2:4">
      <c r="B783" s="120"/>
      <c r="C783" s="121"/>
      <c r="D783" s="68"/>
    </row>
    <row r="784" spans="2:4">
      <c r="B784" s="120"/>
      <c r="C784" s="121"/>
      <c r="D784" s="68"/>
    </row>
    <row r="785" spans="2:4">
      <c r="B785" s="120"/>
      <c r="C785" s="121"/>
      <c r="D785" s="68"/>
    </row>
    <row r="786" spans="2:4">
      <c r="B786" s="120"/>
      <c r="C786" s="121"/>
      <c r="D786" s="68"/>
    </row>
    <row r="787" spans="2:4">
      <c r="B787" s="120"/>
      <c r="C787" s="121"/>
      <c r="D787" s="68"/>
    </row>
    <row r="788" spans="2:4">
      <c r="B788" s="120"/>
      <c r="C788" s="121"/>
      <c r="D788" s="68"/>
    </row>
    <row r="789" spans="2:4">
      <c r="B789" s="120"/>
      <c r="C789" s="121"/>
      <c r="D789" s="68"/>
    </row>
    <row r="790" spans="2:4">
      <c r="B790" s="120"/>
      <c r="C790" s="121"/>
      <c r="D790" s="68"/>
    </row>
    <row r="791" spans="2:4">
      <c r="B791" s="120"/>
      <c r="C791" s="121"/>
      <c r="D791" s="68"/>
    </row>
    <row r="792" spans="2:4">
      <c r="B792" s="120"/>
      <c r="C792" s="121"/>
      <c r="D792" s="68"/>
    </row>
    <row r="793" spans="2:4">
      <c r="B793" s="120"/>
      <c r="C793" s="121"/>
      <c r="D793" s="68"/>
    </row>
    <row r="794" spans="2:4">
      <c r="B794" s="120"/>
      <c r="C794" s="121"/>
      <c r="D794" s="68"/>
    </row>
    <row r="795" spans="2:4">
      <c r="B795" s="120"/>
      <c r="C795" s="121"/>
      <c r="D795" s="68"/>
    </row>
    <row r="796" spans="2:4">
      <c r="B796" s="120"/>
      <c r="C796" s="121"/>
      <c r="D796" s="68"/>
    </row>
    <row r="797" spans="2:4">
      <c r="B797" s="120"/>
      <c r="C797" s="121"/>
      <c r="D797" s="68"/>
    </row>
    <row r="798" spans="2:4">
      <c r="B798" s="120"/>
      <c r="C798" s="121"/>
      <c r="D798" s="68"/>
    </row>
    <row r="799" spans="2:4">
      <c r="B799" s="120"/>
      <c r="C799" s="121"/>
      <c r="D799" s="68"/>
    </row>
    <row r="800" spans="2:4">
      <c r="B800" s="120"/>
      <c r="C800" s="121"/>
      <c r="D800" s="68"/>
    </row>
    <row r="801" spans="2:4">
      <c r="B801" s="120"/>
      <c r="C801" s="121"/>
      <c r="D801" s="68"/>
    </row>
    <row r="802" spans="2:4">
      <c r="B802" s="120"/>
      <c r="C802" s="121"/>
      <c r="D802" s="68"/>
    </row>
    <row r="803" spans="2:4">
      <c r="B803" s="120"/>
      <c r="C803" s="121"/>
      <c r="D803" s="68"/>
    </row>
    <row r="804" spans="2:4">
      <c r="B804" s="120"/>
      <c r="C804" s="121"/>
      <c r="D804" s="68"/>
    </row>
    <row r="805" spans="2:4">
      <c r="B805" s="120"/>
      <c r="C805" s="121"/>
      <c r="D805" s="68"/>
    </row>
    <row r="806" spans="2:4">
      <c r="B806" s="120"/>
      <c r="C806" s="121"/>
      <c r="D806" s="68"/>
    </row>
    <row r="807" spans="2:4">
      <c r="B807" s="120"/>
      <c r="C807" s="121"/>
      <c r="D807" s="68"/>
    </row>
    <row r="808" spans="2:4">
      <c r="B808" s="120"/>
      <c r="C808" s="121"/>
      <c r="D808" s="68"/>
    </row>
    <row r="809" spans="2:4">
      <c r="B809" s="120"/>
      <c r="C809" s="121"/>
      <c r="D809" s="68"/>
    </row>
    <row r="810" spans="2:4">
      <c r="B810" s="120"/>
      <c r="C810" s="121"/>
      <c r="D810" s="68"/>
    </row>
    <row r="811" spans="2:4">
      <c r="B811" s="120"/>
      <c r="C811" s="121"/>
      <c r="D811" s="68"/>
    </row>
    <row r="812" spans="2:4">
      <c r="B812" s="120"/>
      <c r="C812" s="121"/>
      <c r="D812" s="68"/>
    </row>
    <row r="813" spans="2:4">
      <c r="B813" s="120"/>
      <c r="C813" s="121"/>
      <c r="D813" s="68"/>
    </row>
    <row r="814" spans="2:4">
      <c r="B814" s="120"/>
      <c r="C814" s="121"/>
      <c r="D814" s="68"/>
    </row>
    <row r="815" spans="2:4">
      <c r="B815" s="120"/>
      <c r="C815" s="121"/>
      <c r="D815" s="68"/>
    </row>
    <row r="816" spans="2:4">
      <c r="B816" s="120"/>
      <c r="C816" s="121"/>
      <c r="D816" s="68"/>
    </row>
    <row r="817" spans="2:4">
      <c r="B817" s="120"/>
      <c r="C817" s="121"/>
      <c r="D817" s="68"/>
    </row>
    <row r="818" spans="2:4">
      <c r="B818" s="120"/>
      <c r="C818" s="121"/>
      <c r="D818" s="68"/>
    </row>
    <row r="819" spans="2:4">
      <c r="B819" s="120"/>
      <c r="C819" s="121"/>
      <c r="D819" s="68"/>
    </row>
    <row r="820" spans="2:4">
      <c r="B820" s="120"/>
      <c r="C820" s="121"/>
      <c r="D820" s="68"/>
    </row>
    <row r="821" spans="2:4">
      <c r="B821" s="120"/>
      <c r="C821" s="121"/>
      <c r="D821" s="68"/>
    </row>
    <row r="822" spans="2:4">
      <c r="B822" s="120"/>
      <c r="C822" s="121"/>
      <c r="D822" s="68"/>
    </row>
    <row r="823" spans="2:4">
      <c r="B823" s="120"/>
      <c r="C823" s="121"/>
      <c r="D823" s="68"/>
    </row>
    <row r="824" spans="2:4">
      <c r="B824" s="120"/>
      <c r="C824" s="121"/>
      <c r="D824" s="68"/>
    </row>
    <row r="825" spans="2:4">
      <c r="B825" s="120"/>
      <c r="C825" s="121"/>
      <c r="D825" s="68"/>
    </row>
    <row r="826" spans="2:4">
      <c r="B826" s="120"/>
      <c r="C826" s="121"/>
      <c r="D826" s="68"/>
    </row>
    <row r="827" spans="2:4">
      <c r="B827" s="120"/>
      <c r="C827" s="121"/>
      <c r="D827" s="68"/>
    </row>
    <row r="828" spans="2:4">
      <c r="B828" s="120"/>
      <c r="C828" s="121"/>
      <c r="D828" s="68"/>
    </row>
    <row r="829" spans="2:4">
      <c r="B829" s="120"/>
      <c r="C829" s="121"/>
      <c r="D829" s="68"/>
    </row>
    <row r="830" spans="2:4">
      <c r="B830" s="120"/>
      <c r="C830" s="121"/>
      <c r="D830" s="68"/>
    </row>
    <row r="831" spans="2:4">
      <c r="B831" s="120"/>
      <c r="C831" s="121"/>
      <c r="D831" s="68"/>
    </row>
    <row r="832" spans="2:4">
      <c r="B832" s="120"/>
      <c r="C832" s="121"/>
      <c r="D832" s="68"/>
    </row>
    <row r="833" spans="2:4">
      <c r="B833" s="120"/>
      <c r="C833" s="121"/>
      <c r="D833" s="68"/>
    </row>
    <row r="834" spans="2:4">
      <c r="B834" s="120"/>
      <c r="C834" s="121"/>
      <c r="D834" s="68"/>
    </row>
    <row r="835" spans="2:4">
      <c r="B835" s="120"/>
      <c r="C835" s="121"/>
      <c r="D835" s="68"/>
    </row>
    <row r="836" spans="2:4">
      <c r="B836" s="120"/>
      <c r="C836" s="121"/>
      <c r="D836" s="68"/>
    </row>
    <row r="837" spans="2:4">
      <c r="B837" s="120"/>
      <c r="C837" s="121"/>
      <c r="D837" s="68"/>
    </row>
    <row r="838" spans="2:4">
      <c r="B838" s="120"/>
      <c r="C838" s="121"/>
      <c r="D838" s="68"/>
    </row>
    <row r="839" spans="2:4">
      <c r="B839" s="120"/>
      <c r="C839" s="121"/>
      <c r="D839" s="68"/>
    </row>
    <row r="840" spans="2:4">
      <c r="B840" s="120"/>
      <c r="C840" s="121"/>
      <c r="D840" s="68"/>
    </row>
    <row r="841" spans="2:4">
      <c r="B841" s="120"/>
      <c r="C841" s="121"/>
      <c r="D841" s="68"/>
    </row>
    <row r="842" spans="2:4">
      <c r="B842" s="120"/>
      <c r="C842" s="121"/>
      <c r="D842" s="68"/>
    </row>
    <row r="843" spans="2:4">
      <c r="B843" s="120"/>
      <c r="C843" s="121"/>
      <c r="D843" s="68"/>
    </row>
    <row r="844" spans="2:4">
      <c r="B844" s="120"/>
      <c r="C844" s="121"/>
      <c r="D844" s="68"/>
    </row>
    <row r="845" spans="2:4">
      <c r="B845" s="120"/>
      <c r="C845" s="121"/>
      <c r="D845" s="68"/>
    </row>
    <row r="846" spans="2:4">
      <c r="B846" s="120"/>
      <c r="C846" s="121"/>
      <c r="D846" s="68"/>
    </row>
    <row r="847" spans="2:4">
      <c r="B847" s="120"/>
      <c r="C847" s="121"/>
      <c r="D847" s="68"/>
    </row>
    <row r="848" spans="2:4">
      <c r="B848" s="120"/>
      <c r="C848" s="121"/>
      <c r="D848" s="68"/>
    </row>
    <row r="849" spans="2:4">
      <c r="B849" s="120"/>
      <c r="C849" s="121"/>
      <c r="D849" s="68"/>
    </row>
    <row r="850" spans="2:4">
      <c r="B850" s="120"/>
      <c r="C850" s="121"/>
      <c r="D850" s="68"/>
    </row>
    <row r="851" spans="2:4">
      <c r="B851" s="120"/>
      <c r="C851" s="121"/>
      <c r="D851" s="68"/>
    </row>
    <row r="852" spans="2:4">
      <c r="B852" s="120"/>
      <c r="C852" s="121"/>
      <c r="D852" s="68"/>
    </row>
    <row r="853" spans="2:4">
      <c r="B853" s="120"/>
      <c r="C853" s="121"/>
      <c r="D853" s="68"/>
    </row>
    <row r="854" spans="2:4">
      <c r="B854" s="120"/>
      <c r="C854" s="121"/>
      <c r="D854" s="68"/>
    </row>
    <row r="855" spans="2:4">
      <c r="B855" s="120"/>
      <c r="C855" s="121"/>
      <c r="D855" s="68"/>
    </row>
    <row r="856" spans="2:4">
      <c r="B856" s="120"/>
      <c r="C856" s="121"/>
      <c r="D856" s="68"/>
    </row>
    <row r="857" spans="2:4">
      <c r="B857" s="120"/>
      <c r="C857" s="121"/>
      <c r="D857" s="68"/>
    </row>
    <row r="858" spans="2:4">
      <c r="B858" s="120"/>
      <c r="C858" s="121"/>
      <c r="D858" s="68"/>
    </row>
    <row r="859" spans="2:4">
      <c r="B859" s="120"/>
      <c r="C859" s="121"/>
      <c r="D859" s="68"/>
    </row>
    <row r="860" spans="2:4">
      <c r="B860" s="120"/>
      <c r="C860" s="121"/>
      <c r="D860" s="68"/>
    </row>
    <row r="861" spans="2:4">
      <c r="B861" s="120"/>
      <c r="C861" s="121"/>
      <c r="D861" s="68"/>
    </row>
    <row r="862" spans="2:4">
      <c r="B862" s="120"/>
      <c r="C862" s="121"/>
      <c r="D862" s="68"/>
    </row>
    <row r="863" spans="2:4">
      <c r="B863" s="120"/>
      <c r="C863" s="121"/>
      <c r="D863" s="68"/>
    </row>
    <row r="864" spans="2:4">
      <c r="B864" s="120"/>
      <c r="C864" s="121"/>
      <c r="D864" s="68"/>
    </row>
    <row r="865" spans="2:4">
      <c r="B865" s="120"/>
      <c r="C865" s="121"/>
      <c r="D865" s="68"/>
    </row>
    <row r="866" spans="2:4">
      <c r="B866" s="120"/>
      <c r="C866" s="121"/>
      <c r="D866" s="68"/>
    </row>
    <row r="867" spans="2:4">
      <c r="B867" s="120"/>
      <c r="C867" s="121"/>
      <c r="D867" s="68"/>
    </row>
    <row r="868" spans="2:4">
      <c r="B868" s="120"/>
      <c r="C868" s="121"/>
      <c r="D868" s="68"/>
    </row>
    <row r="869" spans="2:4">
      <c r="B869" s="120"/>
      <c r="C869" s="121"/>
      <c r="D869" s="68"/>
    </row>
    <row r="870" spans="2:4">
      <c r="B870" s="120"/>
      <c r="C870" s="121"/>
      <c r="D870" s="68"/>
    </row>
    <row r="871" spans="2:4">
      <c r="B871" s="120"/>
      <c r="C871" s="121"/>
      <c r="D871" s="68"/>
    </row>
    <row r="872" spans="2:4">
      <c r="B872" s="120"/>
      <c r="C872" s="121"/>
      <c r="D872" s="68"/>
    </row>
    <row r="873" spans="2:4">
      <c r="B873" s="120"/>
      <c r="C873" s="121"/>
      <c r="D873" s="68"/>
    </row>
    <row r="874" spans="2:4">
      <c r="B874" s="120"/>
      <c r="C874" s="121"/>
      <c r="D874" s="68"/>
    </row>
    <row r="875" spans="2:4">
      <c r="B875" s="120"/>
      <c r="C875" s="121"/>
      <c r="D875" s="68"/>
    </row>
    <row r="876" spans="2:4">
      <c r="B876" s="120"/>
      <c r="C876" s="121"/>
      <c r="D876" s="68"/>
    </row>
    <row r="877" spans="2:4">
      <c r="B877" s="120"/>
      <c r="C877" s="121"/>
      <c r="D877" s="68"/>
    </row>
    <row r="878" spans="2:4">
      <c r="B878" s="120"/>
      <c r="C878" s="121"/>
      <c r="D878" s="68"/>
    </row>
    <row r="879" spans="2:4">
      <c r="B879" s="120"/>
      <c r="C879" s="121"/>
      <c r="D879" s="68"/>
    </row>
    <row r="880" spans="2:4">
      <c r="B880" s="120"/>
      <c r="C880" s="121"/>
      <c r="D880" s="68"/>
    </row>
    <row r="881" spans="2:4">
      <c r="B881" s="120"/>
      <c r="C881" s="121"/>
      <c r="D881" s="68"/>
    </row>
    <row r="882" spans="2:4">
      <c r="B882" s="120"/>
      <c r="C882" s="121"/>
      <c r="D882" s="68"/>
    </row>
    <row r="883" spans="2:4">
      <c r="B883" s="120"/>
      <c r="C883" s="121"/>
      <c r="D883" s="68"/>
    </row>
    <row r="884" spans="2:4">
      <c r="B884" s="120"/>
      <c r="C884" s="121"/>
      <c r="D884" s="68"/>
    </row>
    <row r="885" spans="2:4">
      <c r="B885" s="120"/>
      <c r="C885" s="121"/>
      <c r="D885" s="68"/>
    </row>
    <row r="886" spans="2:4">
      <c r="B886" s="120"/>
      <c r="C886" s="121"/>
      <c r="D886" s="68"/>
    </row>
    <row r="887" spans="2:4">
      <c r="B887" s="120"/>
      <c r="C887" s="121"/>
      <c r="D887" s="68"/>
    </row>
    <row r="888" spans="2:4">
      <c r="B888" s="120"/>
      <c r="C888" s="121"/>
      <c r="D888" s="68"/>
    </row>
    <row r="889" spans="2:4">
      <c r="B889" s="120"/>
      <c r="C889" s="121"/>
      <c r="D889" s="68"/>
    </row>
    <row r="890" spans="2:4">
      <c r="B890" s="120"/>
      <c r="C890" s="121"/>
      <c r="D890" s="68"/>
    </row>
    <row r="891" spans="2:4">
      <c r="B891" s="120"/>
      <c r="C891" s="121"/>
      <c r="D891" s="68"/>
    </row>
    <row r="892" spans="2:4">
      <c r="B892" s="120"/>
      <c r="C892" s="121"/>
      <c r="D892" s="68"/>
    </row>
    <row r="893" spans="2:4">
      <c r="B893" s="120"/>
      <c r="C893" s="121"/>
      <c r="D893" s="68"/>
    </row>
    <row r="894" spans="2:4">
      <c r="B894" s="120"/>
      <c r="C894" s="121"/>
      <c r="D894" s="68"/>
    </row>
    <row r="895" spans="2:4">
      <c r="B895" s="120"/>
      <c r="C895" s="121"/>
      <c r="D895" s="68"/>
    </row>
    <row r="896" spans="2:4">
      <c r="B896" s="120"/>
      <c r="C896" s="121"/>
      <c r="D896" s="68"/>
    </row>
    <row r="897" spans="2:4">
      <c r="B897" s="120"/>
      <c r="C897" s="121"/>
      <c r="D897" s="68"/>
    </row>
    <row r="898" spans="2:4">
      <c r="B898" s="120"/>
      <c r="C898" s="121"/>
      <c r="D898" s="68"/>
    </row>
    <row r="899" spans="2:4">
      <c r="B899" s="120"/>
      <c r="C899" s="121"/>
      <c r="D899" s="68"/>
    </row>
    <row r="900" spans="2:4">
      <c r="B900" s="120"/>
      <c r="C900" s="121"/>
      <c r="D900" s="68"/>
    </row>
    <row r="901" spans="2:4">
      <c r="B901" s="120"/>
      <c r="C901" s="121"/>
      <c r="D901" s="68"/>
    </row>
    <row r="902" spans="2:4">
      <c r="B902" s="120"/>
      <c r="C902" s="121"/>
      <c r="D902" s="68"/>
    </row>
    <row r="903" spans="2:4">
      <c r="B903" s="120"/>
      <c r="C903" s="121"/>
      <c r="D903" s="68"/>
    </row>
    <row r="904" spans="2:4">
      <c r="B904" s="120"/>
      <c r="C904" s="121"/>
      <c r="D904" s="68"/>
    </row>
    <row r="905" spans="2:4">
      <c r="B905" s="120"/>
      <c r="C905" s="121"/>
      <c r="D905" s="68"/>
    </row>
    <row r="906" spans="2:4">
      <c r="B906" s="120"/>
      <c r="C906" s="121"/>
      <c r="D906" s="68"/>
    </row>
    <row r="907" spans="2:4">
      <c r="B907" s="120"/>
      <c r="C907" s="121"/>
      <c r="D907" s="68"/>
    </row>
    <row r="908" spans="2:4">
      <c r="B908" s="120"/>
      <c r="C908" s="121"/>
      <c r="D908" s="68"/>
    </row>
    <row r="909" spans="2:4">
      <c r="B909" s="120"/>
      <c r="C909" s="121"/>
      <c r="D909" s="68"/>
    </row>
    <row r="910" spans="2:4">
      <c r="B910" s="120"/>
      <c r="C910" s="121"/>
      <c r="D910" s="68"/>
    </row>
    <row r="911" spans="2:4">
      <c r="B911" s="120"/>
      <c r="C911" s="121"/>
      <c r="D911" s="68"/>
    </row>
    <row r="912" spans="2:4">
      <c r="B912" s="120"/>
      <c r="C912" s="121"/>
      <c r="D912" s="68"/>
    </row>
    <row r="913" spans="2:4">
      <c r="B913" s="120"/>
      <c r="C913" s="121"/>
      <c r="D913" s="68"/>
    </row>
    <row r="914" spans="2:4">
      <c r="B914" s="120"/>
      <c r="C914" s="121"/>
      <c r="D914" s="68"/>
    </row>
    <row r="915" spans="2:4">
      <c r="B915" s="120"/>
      <c r="C915" s="121"/>
      <c r="D915" s="68"/>
    </row>
    <row r="916" spans="2:4">
      <c r="B916" s="120"/>
      <c r="C916" s="121"/>
      <c r="D916" s="68"/>
    </row>
    <row r="917" spans="2:4">
      <c r="B917" s="120"/>
      <c r="C917" s="121"/>
      <c r="D917" s="68"/>
    </row>
    <row r="918" spans="2:4">
      <c r="B918" s="120"/>
      <c r="C918" s="121"/>
      <c r="D918" s="68"/>
    </row>
    <row r="919" spans="2:4">
      <c r="B919" s="120"/>
      <c r="C919" s="121"/>
      <c r="D919" s="68"/>
    </row>
    <row r="920" spans="2:4">
      <c r="B920" s="120"/>
      <c r="C920" s="121"/>
      <c r="D920" s="68"/>
    </row>
    <row r="921" spans="2:4">
      <c r="B921" s="120"/>
      <c r="C921" s="121"/>
      <c r="D921" s="68"/>
    </row>
    <row r="922" spans="2:4">
      <c r="B922" s="120"/>
      <c r="C922" s="121"/>
      <c r="D922" s="68"/>
    </row>
    <row r="923" spans="2:4">
      <c r="B923" s="120"/>
      <c r="C923" s="121"/>
      <c r="D923" s="68"/>
    </row>
    <row r="924" spans="2:4">
      <c r="B924" s="120"/>
      <c r="C924" s="121"/>
      <c r="D924" s="68"/>
    </row>
    <row r="925" spans="2:4">
      <c r="B925" s="120"/>
      <c r="C925" s="121"/>
      <c r="D925" s="68"/>
    </row>
    <row r="926" spans="2:4">
      <c r="B926" s="120"/>
      <c r="C926" s="121"/>
      <c r="D926" s="68"/>
    </row>
    <row r="927" spans="2:4">
      <c r="B927" s="120"/>
      <c r="C927" s="121"/>
      <c r="D927" s="68"/>
    </row>
    <row r="928" spans="2:4">
      <c r="B928" s="120"/>
      <c r="C928" s="121"/>
      <c r="D928" s="68"/>
    </row>
    <row r="929" spans="2:4">
      <c r="B929" s="120"/>
      <c r="C929" s="121"/>
      <c r="D929" s="68"/>
    </row>
    <row r="930" spans="2:4">
      <c r="B930" s="120"/>
      <c r="C930" s="121"/>
      <c r="D930" s="68"/>
    </row>
    <row r="931" spans="2:4">
      <c r="B931" s="120"/>
      <c r="C931" s="121"/>
      <c r="D931" s="68"/>
    </row>
    <row r="932" spans="2:4">
      <c r="B932" s="120"/>
      <c r="C932" s="121"/>
      <c r="D932" s="68"/>
    </row>
    <row r="933" spans="2:4">
      <c r="B933" s="120"/>
      <c r="C933" s="121"/>
      <c r="D933" s="68"/>
    </row>
    <row r="934" spans="2:4">
      <c r="B934" s="120"/>
      <c r="C934" s="121"/>
      <c r="D934" s="68"/>
    </row>
    <row r="935" spans="2:4">
      <c r="B935" s="120"/>
      <c r="C935" s="121"/>
      <c r="D935" s="68"/>
    </row>
    <row r="936" spans="2:4">
      <c r="B936" s="120"/>
      <c r="C936" s="121"/>
      <c r="D936" s="68"/>
    </row>
    <row r="937" spans="2:4">
      <c r="B937" s="120"/>
      <c r="C937" s="121"/>
      <c r="D937" s="68"/>
    </row>
    <row r="938" spans="2:4">
      <c r="B938" s="120"/>
      <c r="C938" s="121"/>
      <c r="D938" s="68"/>
    </row>
    <row r="939" spans="2:4">
      <c r="B939" s="120"/>
      <c r="C939" s="121"/>
      <c r="D939" s="68"/>
    </row>
    <row r="940" spans="2:4">
      <c r="B940" s="120"/>
      <c r="C940" s="121"/>
      <c r="D940" s="68"/>
    </row>
    <row r="941" spans="2:4">
      <c r="B941" s="120"/>
      <c r="C941" s="121"/>
      <c r="D941" s="68"/>
    </row>
    <row r="942" spans="2:4">
      <c r="B942" s="120"/>
      <c r="C942" s="121"/>
      <c r="D942" s="68"/>
    </row>
    <row r="943" spans="2:4">
      <c r="B943" s="120"/>
      <c r="C943" s="121"/>
      <c r="D943" s="68"/>
    </row>
    <row r="944" spans="2:4">
      <c r="B944" s="120"/>
      <c r="C944" s="121"/>
      <c r="D944" s="68"/>
    </row>
    <row r="945" spans="2:4">
      <c r="B945" s="120"/>
      <c r="C945" s="121"/>
      <c r="D945" s="68"/>
    </row>
    <row r="946" spans="2:4">
      <c r="B946" s="120"/>
      <c r="C946" s="121"/>
      <c r="D946" s="68"/>
    </row>
    <row r="947" spans="2:4">
      <c r="B947" s="120"/>
      <c r="C947" s="121"/>
      <c r="D947" s="68"/>
    </row>
    <row r="948" spans="2:4">
      <c r="B948" s="120"/>
      <c r="C948" s="121"/>
      <c r="D948" s="68"/>
    </row>
    <row r="949" spans="2:4">
      <c r="B949" s="120"/>
      <c r="C949" s="121"/>
      <c r="D949" s="68"/>
    </row>
    <row r="950" spans="2:4">
      <c r="B950" s="120"/>
      <c r="C950" s="121"/>
      <c r="D950" s="68"/>
    </row>
    <row r="951" spans="2:4">
      <c r="B951" s="120"/>
      <c r="C951" s="121"/>
      <c r="D951" s="68"/>
    </row>
    <row r="952" spans="2:4">
      <c r="B952" s="120"/>
      <c r="C952" s="121"/>
      <c r="D952" s="68"/>
    </row>
    <row r="953" spans="2:4">
      <c r="B953" s="120"/>
      <c r="C953" s="121"/>
      <c r="D953" s="68"/>
    </row>
    <row r="954" spans="2:4">
      <c r="B954" s="120"/>
      <c r="C954" s="121"/>
      <c r="D954" s="68"/>
    </row>
    <row r="955" spans="2:4">
      <c r="B955" s="120"/>
      <c r="C955" s="121"/>
      <c r="D955" s="68"/>
    </row>
    <row r="956" spans="2:4">
      <c r="B956" s="120"/>
      <c r="C956" s="121"/>
      <c r="D956" s="68"/>
    </row>
    <row r="957" spans="2:4">
      <c r="B957" s="120"/>
      <c r="C957" s="121"/>
      <c r="D957" s="68"/>
    </row>
    <row r="958" spans="2:4">
      <c r="B958" s="120"/>
      <c r="C958" s="121"/>
      <c r="D958" s="68"/>
    </row>
    <row r="959" spans="2:4">
      <c r="B959" s="120"/>
      <c r="C959" s="121"/>
      <c r="D959" s="68"/>
    </row>
    <row r="960" spans="2:4">
      <c r="B960" s="120"/>
      <c r="C960" s="121"/>
      <c r="D960" s="68"/>
    </row>
    <row r="961" spans="2:4">
      <c r="B961" s="120"/>
      <c r="C961" s="121"/>
      <c r="D961" s="68"/>
    </row>
    <row r="962" spans="2:4">
      <c r="B962" s="120"/>
      <c r="C962" s="121"/>
      <c r="D962" s="68"/>
    </row>
    <row r="963" spans="2:4">
      <c r="B963" s="120"/>
      <c r="C963" s="121"/>
      <c r="D963" s="68"/>
    </row>
    <row r="964" spans="2:4">
      <c r="B964" s="120"/>
      <c r="C964" s="121"/>
      <c r="D964" s="68"/>
    </row>
    <row r="965" spans="2:4">
      <c r="B965" s="120"/>
      <c r="C965" s="121"/>
      <c r="D965" s="68"/>
    </row>
    <row r="966" spans="2:4">
      <c r="B966" s="120"/>
      <c r="C966" s="121"/>
      <c r="D966" s="68"/>
    </row>
    <row r="967" spans="2:4">
      <c r="B967" s="120"/>
      <c r="C967" s="121"/>
      <c r="D967" s="68"/>
    </row>
    <row r="968" spans="2:4">
      <c r="B968" s="120"/>
      <c r="C968" s="121"/>
      <c r="D968" s="68"/>
    </row>
    <row r="969" spans="2:4">
      <c r="B969" s="120"/>
      <c r="C969" s="121"/>
      <c r="D969" s="68"/>
    </row>
    <row r="970" spans="2:4">
      <c r="B970" s="120"/>
      <c r="C970" s="121"/>
      <c r="D970" s="68"/>
    </row>
    <row r="971" spans="2:4">
      <c r="B971" s="120"/>
      <c r="C971" s="121"/>
      <c r="D971" s="68"/>
    </row>
    <row r="972" spans="2:4">
      <c r="B972" s="120"/>
      <c r="C972" s="121"/>
      <c r="D972" s="68"/>
    </row>
    <row r="973" spans="2:4">
      <c r="B973" s="120"/>
      <c r="C973" s="121"/>
      <c r="D973" s="68"/>
    </row>
    <row r="974" spans="2:4">
      <c r="B974" s="120"/>
      <c r="C974" s="121"/>
      <c r="D974" s="68"/>
    </row>
    <row r="975" spans="2:4">
      <c r="B975" s="120"/>
      <c r="C975" s="121"/>
      <c r="D975" s="68"/>
    </row>
    <row r="976" spans="2:4">
      <c r="B976" s="120"/>
      <c r="C976" s="121"/>
      <c r="D976" s="68"/>
    </row>
    <row r="977" spans="2:4">
      <c r="B977" s="120"/>
      <c r="C977" s="121"/>
      <c r="D977" s="68"/>
    </row>
    <row r="978" spans="2:4">
      <c r="B978" s="120"/>
      <c r="C978" s="121"/>
      <c r="D978" s="68"/>
    </row>
    <row r="979" spans="2:4">
      <c r="B979" s="120"/>
      <c r="C979" s="121"/>
      <c r="D979" s="68"/>
    </row>
    <row r="980" spans="2:4">
      <c r="B980" s="120"/>
      <c r="C980" s="121"/>
      <c r="D980" s="68"/>
    </row>
    <row r="981" spans="2:4">
      <c r="B981" s="120"/>
      <c r="C981" s="121"/>
      <c r="D981" s="68"/>
    </row>
    <row r="982" spans="2:4">
      <c r="B982" s="120"/>
      <c r="C982" s="121"/>
      <c r="D982" s="68"/>
    </row>
    <row r="983" spans="2:4">
      <c r="B983" s="120"/>
      <c r="C983" s="121"/>
      <c r="D983" s="68"/>
    </row>
    <row r="984" spans="2:4">
      <c r="B984" s="120"/>
      <c r="C984" s="121"/>
      <c r="D984" s="68"/>
    </row>
    <row r="985" spans="2:4">
      <c r="B985" s="120"/>
      <c r="C985" s="121"/>
      <c r="D985" s="68"/>
    </row>
    <row r="986" spans="2:4">
      <c r="B986" s="120"/>
      <c r="C986" s="121"/>
      <c r="D986" s="68"/>
    </row>
    <row r="987" spans="2:4">
      <c r="B987" s="120"/>
      <c r="C987" s="121"/>
      <c r="D987" s="68"/>
    </row>
    <row r="988" spans="2:4">
      <c r="B988" s="120"/>
      <c r="C988" s="121"/>
      <c r="D988" s="68"/>
    </row>
    <row r="989" spans="2:4">
      <c r="B989" s="120"/>
      <c r="C989" s="121"/>
      <c r="D989" s="68"/>
    </row>
    <row r="990" spans="2:4">
      <c r="B990" s="120"/>
      <c r="C990" s="121"/>
      <c r="D990" s="68"/>
    </row>
    <row r="991" spans="2:4">
      <c r="B991" s="120"/>
      <c r="C991" s="121"/>
      <c r="D991" s="68"/>
    </row>
    <row r="992" spans="2:4">
      <c r="B992" s="120"/>
      <c r="C992" s="121"/>
      <c r="D992" s="68"/>
    </row>
    <row r="993" spans="2:4">
      <c r="B993" s="120"/>
      <c r="C993" s="121"/>
      <c r="D993" s="68"/>
    </row>
    <row r="994" spans="2:4">
      <c r="B994" s="120"/>
      <c r="C994" s="121"/>
      <c r="D994" s="68"/>
    </row>
    <row r="995" spans="2:4">
      <c r="B995" s="120"/>
      <c r="C995" s="121"/>
      <c r="D995" s="68"/>
    </row>
    <row r="996" spans="2:4">
      <c r="B996" s="120"/>
      <c r="C996" s="121"/>
      <c r="D996" s="68"/>
    </row>
    <row r="997" spans="2:4">
      <c r="B997" s="120"/>
      <c r="C997" s="121"/>
      <c r="D997" s="68"/>
    </row>
    <row r="998" spans="2:4">
      <c r="B998" s="120"/>
      <c r="C998" s="121"/>
      <c r="D998" s="68"/>
    </row>
    <row r="999" spans="2:4">
      <c r="B999" s="120"/>
      <c r="C999" s="121"/>
      <c r="D999" s="68"/>
    </row>
    <row r="1000" spans="2:4">
      <c r="B1000" s="120"/>
      <c r="C1000" s="121"/>
      <c r="D1000" s="68"/>
    </row>
    <row r="1001" spans="2:4">
      <c r="B1001" s="120"/>
      <c r="C1001" s="121"/>
      <c r="D1001" s="68"/>
    </row>
    <row r="1002" spans="2:4">
      <c r="B1002" s="120"/>
      <c r="C1002" s="121"/>
      <c r="D1002" s="68"/>
    </row>
    <row r="1003" spans="2:4">
      <c r="B1003" s="120"/>
      <c r="C1003" s="121"/>
      <c r="D1003" s="68"/>
    </row>
    <row r="1004" spans="2:4">
      <c r="B1004" s="120"/>
      <c r="C1004" s="121"/>
      <c r="D1004" s="68"/>
    </row>
    <row r="1005" spans="2:4">
      <c r="B1005" s="120"/>
      <c r="C1005" s="121"/>
      <c r="D1005" s="68"/>
    </row>
    <row r="1006" spans="2:4">
      <c r="B1006" s="120"/>
      <c r="C1006" s="121"/>
      <c r="D1006" s="68"/>
    </row>
    <row r="1007" spans="2:4">
      <c r="B1007" s="120"/>
      <c r="C1007" s="121"/>
      <c r="D1007" s="68"/>
    </row>
    <row r="1008" spans="2:4">
      <c r="B1008" s="120"/>
      <c r="C1008" s="121"/>
      <c r="D1008" s="68"/>
    </row>
    <row r="1009" spans="2:4">
      <c r="B1009" s="120"/>
      <c r="C1009" s="121"/>
      <c r="D1009" s="68"/>
    </row>
    <row r="1010" spans="2:4">
      <c r="B1010" s="120"/>
      <c r="C1010" s="121"/>
      <c r="D1010" s="68"/>
    </row>
    <row r="1011" spans="2:4">
      <c r="B1011" s="120"/>
      <c r="C1011" s="121"/>
      <c r="D1011" s="68"/>
    </row>
    <row r="1012" spans="2:4">
      <c r="B1012" s="120"/>
      <c r="C1012" s="121"/>
      <c r="D1012" s="68"/>
    </row>
    <row r="1013" spans="2:4">
      <c r="B1013" s="120"/>
      <c r="C1013" s="121"/>
      <c r="D1013" s="68"/>
    </row>
    <row r="1014" spans="2:4">
      <c r="B1014" s="120"/>
      <c r="C1014" s="121"/>
      <c r="D1014" s="68"/>
    </row>
    <row r="1015" spans="2:4">
      <c r="B1015" s="120"/>
      <c r="C1015" s="121"/>
      <c r="D1015" s="68"/>
    </row>
    <row r="1016" spans="2:4">
      <c r="B1016" s="120"/>
      <c r="C1016" s="121"/>
      <c r="D1016" s="68"/>
    </row>
    <row r="1017" spans="2:4">
      <c r="B1017" s="120"/>
      <c r="C1017" s="121"/>
      <c r="D1017" s="68"/>
    </row>
    <row r="1018" spans="2:4">
      <c r="B1018" s="120"/>
      <c r="C1018" s="121"/>
      <c r="D1018" s="68"/>
    </row>
    <row r="1019" spans="2:4">
      <c r="B1019" s="120"/>
      <c r="C1019" s="121"/>
      <c r="D1019" s="68"/>
    </row>
    <row r="1020" spans="2:4">
      <c r="B1020" s="120"/>
      <c r="C1020" s="121"/>
      <c r="D1020" s="68"/>
    </row>
    <row r="1021" spans="2:4">
      <c r="B1021" s="120"/>
      <c r="C1021" s="121"/>
      <c r="D1021" s="68"/>
    </row>
    <row r="1022" spans="2:4">
      <c r="B1022" s="120"/>
      <c r="C1022" s="121"/>
      <c r="D1022" s="68"/>
    </row>
    <row r="1023" spans="2:4">
      <c r="B1023" s="120"/>
      <c r="C1023" s="121"/>
      <c r="D1023" s="68"/>
    </row>
    <row r="1024" spans="2:4">
      <c r="B1024" s="120"/>
      <c r="C1024" s="121"/>
      <c r="D1024" s="68"/>
    </row>
    <row r="1025" spans="2:4">
      <c r="B1025" s="120"/>
      <c r="C1025" s="121"/>
      <c r="D1025" s="68"/>
    </row>
    <row r="1026" spans="2:4">
      <c r="B1026" s="120"/>
      <c r="C1026" s="121"/>
      <c r="D1026" s="68"/>
    </row>
    <row r="1027" spans="2:4">
      <c r="B1027" s="120"/>
      <c r="C1027" s="121"/>
      <c r="D1027" s="68"/>
    </row>
    <row r="1028" spans="2:4">
      <c r="B1028" s="120"/>
      <c r="C1028" s="121"/>
      <c r="D1028" s="68"/>
    </row>
    <row r="1029" spans="2:4">
      <c r="B1029" s="120"/>
      <c r="C1029" s="121"/>
      <c r="D1029" s="68"/>
    </row>
    <row r="1030" spans="2:4">
      <c r="B1030" s="120"/>
      <c r="C1030" s="121"/>
      <c r="D1030" s="68"/>
    </row>
    <row r="1031" spans="2:4">
      <c r="B1031" s="120"/>
      <c r="C1031" s="121"/>
      <c r="D1031" s="68"/>
    </row>
    <row r="1032" spans="2:4">
      <c r="B1032" s="120"/>
      <c r="C1032" s="121"/>
      <c r="D1032" s="68"/>
    </row>
    <row r="1033" spans="2:4">
      <c r="B1033" s="120"/>
      <c r="C1033" s="121"/>
      <c r="D1033" s="68"/>
    </row>
    <row r="1034" spans="2:4">
      <c r="B1034" s="120"/>
      <c r="C1034" s="121"/>
      <c r="D1034" s="68"/>
    </row>
    <row r="1035" spans="2:4">
      <c r="B1035" s="120"/>
      <c r="C1035" s="121"/>
      <c r="D1035" s="68"/>
    </row>
    <row r="1036" spans="2:4">
      <c r="B1036" s="120"/>
      <c r="C1036" s="121"/>
      <c r="D1036" s="68"/>
    </row>
    <row r="1037" spans="2:4">
      <c r="B1037" s="120"/>
      <c r="C1037" s="121"/>
      <c r="D1037" s="68"/>
    </row>
    <row r="1038" spans="2:4">
      <c r="B1038" s="120"/>
      <c r="C1038" s="121"/>
      <c r="D1038" s="68"/>
    </row>
    <row r="1039" spans="2:4">
      <c r="B1039" s="120"/>
      <c r="C1039" s="121"/>
      <c r="D1039" s="68"/>
    </row>
    <row r="1040" spans="2:4">
      <c r="B1040" s="120"/>
      <c r="C1040" s="121"/>
      <c r="D1040" s="68"/>
    </row>
    <row r="1041" spans="2:4">
      <c r="B1041" s="120"/>
      <c r="C1041" s="121"/>
      <c r="D1041" s="68"/>
    </row>
    <row r="1042" spans="2:4">
      <c r="B1042" s="120"/>
      <c r="C1042" s="121"/>
      <c r="D1042" s="68"/>
    </row>
    <row r="1043" spans="2:4">
      <c r="B1043" s="120"/>
      <c r="C1043" s="121"/>
      <c r="D1043" s="68"/>
    </row>
    <row r="1044" spans="2:4">
      <c r="B1044" s="120"/>
      <c r="C1044" s="121"/>
      <c r="D1044" s="68"/>
    </row>
    <row r="1045" spans="2:4">
      <c r="B1045" s="120"/>
      <c r="C1045" s="121"/>
      <c r="D1045" s="68"/>
    </row>
    <row r="1046" spans="2:4">
      <c r="B1046" s="120"/>
      <c r="C1046" s="121"/>
      <c r="D1046" s="68"/>
    </row>
    <row r="1047" spans="2:4">
      <c r="B1047" s="120"/>
      <c r="C1047" s="121"/>
      <c r="D1047" s="68"/>
    </row>
    <row r="1048" spans="2:4">
      <c r="B1048" s="120"/>
      <c r="C1048" s="121"/>
      <c r="D1048" s="68"/>
    </row>
    <row r="1049" spans="2:4">
      <c r="B1049" s="120"/>
      <c r="C1049" s="121"/>
      <c r="D1049" s="68"/>
    </row>
    <row r="1050" spans="2:4">
      <c r="B1050" s="120"/>
      <c r="C1050" s="121"/>
      <c r="D1050" s="68"/>
    </row>
    <row r="1051" spans="2:4">
      <c r="B1051" s="120"/>
      <c r="C1051" s="121"/>
      <c r="D1051" s="68"/>
    </row>
    <row r="1052" spans="2:4">
      <c r="B1052" s="120"/>
      <c r="C1052" s="121"/>
      <c r="D1052" s="68"/>
    </row>
    <row r="1053" spans="2:4">
      <c r="B1053" s="120"/>
      <c r="C1053" s="121"/>
      <c r="D1053" s="68"/>
    </row>
    <row r="1054" spans="2:4">
      <c r="B1054" s="120"/>
      <c r="C1054" s="121"/>
      <c r="D1054" s="68"/>
    </row>
    <row r="1055" spans="2:4">
      <c r="B1055" s="120"/>
      <c r="C1055" s="121"/>
      <c r="D1055" s="68"/>
    </row>
    <row r="1056" spans="2:4">
      <c r="B1056" s="120"/>
      <c r="C1056" s="121"/>
      <c r="D1056" s="68"/>
    </row>
    <row r="1057" spans="2:4">
      <c r="B1057" s="120"/>
      <c r="C1057" s="121"/>
      <c r="D1057" s="68"/>
    </row>
    <row r="1058" spans="2:4">
      <c r="B1058" s="120"/>
      <c r="C1058" s="121"/>
      <c r="D1058" s="68"/>
    </row>
    <row r="1059" spans="2:4">
      <c r="B1059" s="120"/>
      <c r="C1059" s="121"/>
      <c r="D1059" s="68"/>
    </row>
    <row r="1060" spans="2:4">
      <c r="B1060" s="120"/>
      <c r="C1060" s="121"/>
      <c r="D1060" s="68"/>
    </row>
    <row r="1061" spans="2:4">
      <c r="B1061" s="120"/>
      <c r="C1061" s="121"/>
      <c r="D1061" s="68"/>
    </row>
    <row r="1062" spans="2:4">
      <c r="B1062" s="120"/>
      <c r="C1062" s="121"/>
      <c r="D1062" s="68"/>
    </row>
    <row r="1063" spans="2:4">
      <c r="B1063" s="120"/>
      <c r="C1063" s="121"/>
      <c r="D1063" s="68"/>
    </row>
    <row r="1064" spans="2:4">
      <c r="B1064" s="120"/>
      <c r="C1064" s="121"/>
      <c r="D1064" s="68"/>
    </row>
    <row r="1065" spans="2:4">
      <c r="B1065" s="120"/>
      <c r="C1065" s="121"/>
      <c r="D1065" s="68"/>
    </row>
    <row r="1066" spans="2:4">
      <c r="B1066" s="120"/>
      <c r="C1066" s="121"/>
      <c r="D1066" s="68"/>
    </row>
    <row r="1067" spans="2:4">
      <c r="B1067" s="120"/>
      <c r="C1067" s="121"/>
      <c r="D1067" s="68"/>
    </row>
    <row r="1068" spans="2:4">
      <c r="B1068" s="120"/>
      <c r="C1068" s="121"/>
      <c r="D1068" s="68"/>
    </row>
    <row r="1069" spans="2:4">
      <c r="B1069" s="120"/>
      <c r="C1069" s="121"/>
      <c r="D1069" s="68"/>
    </row>
    <row r="1070" spans="2:4">
      <c r="B1070" s="120"/>
      <c r="C1070" s="121"/>
      <c r="D1070" s="68"/>
    </row>
    <row r="1071" spans="2:4">
      <c r="B1071" s="120"/>
      <c r="C1071" s="121"/>
      <c r="D1071" s="68"/>
    </row>
    <row r="1072" spans="2:4">
      <c r="B1072" s="120"/>
      <c r="C1072" s="121"/>
      <c r="D1072" s="68"/>
    </row>
    <row r="1073" spans="2:4">
      <c r="B1073" s="120"/>
      <c r="C1073" s="121"/>
      <c r="D1073" s="68"/>
    </row>
    <row r="1074" spans="2:4">
      <c r="B1074" s="120"/>
      <c r="C1074" s="121"/>
      <c r="D1074" s="68"/>
    </row>
    <row r="1075" spans="2:4">
      <c r="B1075" s="120"/>
      <c r="C1075" s="121"/>
      <c r="D1075" s="68"/>
    </row>
    <row r="1076" spans="2:4">
      <c r="B1076" s="120"/>
      <c r="C1076" s="121"/>
      <c r="D1076" s="68"/>
    </row>
    <row r="1077" spans="2:4">
      <c r="B1077" s="120"/>
      <c r="C1077" s="121"/>
      <c r="D1077" s="68"/>
    </row>
    <row r="1078" spans="2:4">
      <c r="B1078" s="120"/>
      <c r="C1078" s="121"/>
      <c r="D1078" s="68"/>
    </row>
    <row r="1079" spans="2:4">
      <c r="B1079" s="120"/>
      <c r="C1079" s="121"/>
      <c r="D1079" s="68"/>
    </row>
    <row r="1080" spans="2:4">
      <c r="B1080" s="120"/>
      <c r="C1080" s="121"/>
      <c r="D1080" s="68"/>
    </row>
    <row r="1081" spans="2:4">
      <c r="B1081" s="120"/>
      <c r="C1081" s="121"/>
      <c r="D1081" s="68"/>
    </row>
    <row r="1082" spans="2:4">
      <c r="B1082" s="120"/>
      <c r="C1082" s="121"/>
      <c r="D1082" s="68"/>
    </row>
    <row r="1083" spans="2:4">
      <c r="B1083" s="120"/>
      <c r="C1083" s="121"/>
      <c r="D1083" s="68"/>
    </row>
    <row r="1084" spans="2:4">
      <c r="B1084" s="120"/>
      <c r="C1084" s="121"/>
      <c r="D1084" s="68"/>
    </row>
    <row r="1085" spans="2:4">
      <c r="B1085" s="120"/>
      <c r="C1085" s="121"/>
      <c r="D1085" s="68"/>
    </row>
    <row r="1086" spans="2:4">
      <c r="B1086" s="120"/>
      <c r="C1086" s="121"/>
      <c r="D1086" s="68"/>
    </row>
    <row r="1087" spans="2:4">
      <c r="B1087" s="120"/>
      <c r="C1087" s="121"/>
      <c r="D1087" s="68"/>
    </row>
    <row r="1088" spans="2:4">
      <c r="B1088" s="120"/>
      <c r="C1088" s="121"/>
      <c r="D1088" s="68"/>
    </row>
    <row r="1089" spans="2:4">
      <c r="B1089" s="120"/>
      <c r="C1089" s="121"/>
      <c r="D1089" s="68"/>
    </row>
    <row r="1090" spans="2:4">
      <c r="B1090" s="120"/>
      <c r="C1090" s="121"/>
      <c r="D1090" s="68"/>
    </row>
    <row r="1091" spans="2:4">
      <c r="B1091" s="120"/>
      <c r="C1091" s="121"/>
      <c r="D1091" s="68"/>
    </row>
    <row r="1092" spans="2:4">
      <c r="B1092" s="120"/>
      <c r="C1092" s="121"/>
      <c r="D1092" s="68"/>
    </row>
    <row r="1093" spans="2:4">
      <c r="B1093" s="120"/>
      <c r="C1093" s="121"/>
      <c r="D1093" s="68"/>
    </row>
    <row r="1094" spans="2:4">
      <c r="B1094" s="120"/>
      <c r="C1094" s="121"/>
      <c r="D1094" s="68"/>
    </row>
    <row r="1095" spans="2:4">
      <c r="B1095" s="120"/>
      <c r="C1095" s="121"/>
      <c r="D1095" s="68"/>
    </row>
    <row r="1096" spans="2:4">
      <c r="B1096" s="120"/>
      <c r="C1096" s="121"/>
      <c r="D1096" s="68"/>
    </row>
    <row r="1097" spans="2:4">
      <c r="B1097" s="120"/>
      <c r="C1097" s="121"/>
      <c r="D1097" s="68"/>
    </row>
    <row r="1098" spans="2:4">
      <c r="B1098" s="120"/>
      <c r="C1098" s="121"/>
      <c r="D1098" s="68"/>
    </row>
    <row r="1099" spans="2:4">
      <c r="B1099" s="120"/>
      <c r="C1099" s="121"/>
      <c r="D1099" s="68"/>
    </row>
    <row r="1100" spans="2:4">
      <c r="B1100" s="120"/>
      <c r="C1100" s="121"/>
      <c r="D1100" s="68"/>
    </row>
    <row r="1101" spans="2:4">
      <c r="B1101" s="120"/>
      <c r="C1101" s="121"/>
      <c r="D1101" s="68"/>
    </row>
    <row r="1102" spans="2:4">
      <c r="B1102" s="120"/>
      <c r="C1102" s="121"/>
      <c r="D1102" s="68"/>
    </row>
    <row r="1103" spans="2:4">
      <c r="B1103" s="120"/>
      <c r="C1103" s="121"/>
      <c r="D1103" s="68"/>
    </row>
    <row r="1104" spans="2:4">
      <c r="B1104" s="120"/>
      <c r="C1104" s="121"/>
      <c r="D1104" s="68"/>
    </row>
    <row r="1105" spans="2:4">
      <c r="B1105" s="120"/>
      <c r="C1105" s="121"/>
      <c r="D1105" s="68"/>
    </row>
    <row r="1106" spans="2:4">
      <c r="B1106" s="120"/>
      <c r="C1106" s="121"/>
      <c r="D1106" s="68"/>
    </row>
    <row r="1107" spans="2:4">
      <c r="B1107" s="120"/>
      <c r="C1107" s="121"/>
      <c r="D1107" s="68"/>
    </row>
    <row r="1108" spans="2:4">
      <c r="B1108" s="120"/>
      <c r="C1108" s="121"/>
      <c r="D1108" s="68"/>
    </row>
    <row r="1109" spans="2:4">
      <c r="B1109" s="120"/>
      <c r="C1109" s="121"/>
      <c r="D1109" s="68"/>
    </row>
    <row r="1110" spans="2:4">
      <c r="B1110" s="120"/>
      <c r="C1110" s="121"/>
      <c r="D1110" s="68"/>
    </row>
    <row r="1111" spans="2:4">
      <c r="B1111" s="120"/>
      <c r="C1111" s="121"/>
      <c r="D1111" s="68"/>
    </row>
    <row r="1112" spans="2:4">
      <c r="B1112" s="120"/>
      <c r="C1112" s="121"/>
      <c r="D1112" s="68"/>
    </row>
    <row r="1113" spans="2:4">
      <c r="B1113" s="120"/>
      <c r="C1113" s="121"/>
      <c r="D1113" s="68"/>
    </row>
    <row r="1114" spans="2:4">
      <c r="B1114" s="120"/>
      <c r="C1114" s="121"/>
      <c r="D1114" s="68"/>
    </row>
    <row r="1115" spans="2:4">
      <c r="B1115" s="120"/>
      <c r="C1115" s="121"/>
      <c r="D1115" s="68"/>
    </row>
    <row r="1116" spans="2:4">
      <c r="B1116" s="120"/>
      <c r="C1116" s="121"/>
      <c r="D1116" s="68"/>
    </row>
    <row r="1117" spans="2:4">
      <c r="B1117" s="120"/>
      <c r="C1117" s="121"/>
      <c r="D1117" s="68"/>
    </row>
    <row r="1118" spans="2:4">
      <c r="B1118" s="120"/>
      <c r="C1118" s="121"/>
      <c r="D1118" s="68"/>
    </row>
    <row r="1119" spans="2:4">
      <c r="B1119" s="120"/>
      <c r="C1119" s="121"/>
      <c r="D1119" s="68"/>
    </row>
    <row r="1120" spans="2:4">
      <c r="B1120" s="120"/>
      <c r="C1120" s="121"/>
      <c r="D1120" s="68"/>
    </row>
    <row r="1121" spans="2:4">
      <c r="B1121" s="120"/>
      <c r="C1121" s="121"/>
      <c r="D1121" s="68"/>
    </row>
    <row r="1122" spans="2:4">
      <c r="B1122" s="120"/>
      <c r="C1122" s="121"/>
      <c r="D1122" s="68"/>
    </row>
    <row r="1123" spans="2:4">
      <c r="B1123" s="120"/>
      <c r="C1123" s="121"/>
      <c r="D1123" s="68"/>
    </row>
    <row r="1124" spans="2:4">
      <c r="B1124" s="120"/>
      <c r="C1124" s="121"/>
      <c r="D1124" s="68"/>
    </row>
    <row r="1125" spans="2:4">
      <c r="B1125" s="120"/>
      <c r="C1125" s="121"/>
      <c r="D1125" s="68"/>
    </row>
    <row r="1126" spans="2:4">
      <c r="B1126" s="120"/>
      <c r="C1126" s="121"/>
      <c r="D1126" s="68"/>
    </row>
    <row r="1127" spans="2:4">
      <c r="B1127" s="120"/>
      <c r="C1127" s="121"/>
      <c r="D1127" s="68"/>
    </row>
    <row r="1128" spans="2:4">
      <c r="B1128" s="120"/>
      <c r="C1128" s="121"/>
      <c r="D1128" s="68"/>
    </row>
    <row r="1129" spans="2:4">
      <c r="B1129" s="120"/>
      <c r="C1129" s="121"/>
      <c r="D1129" s="68"/>
    </row>
    <row r="1130" spans="2:4">
      <c r="B1130" s="120"/>
      <c r="C1130" s="121"/>
      <c r="D1130" s="68"/>
    </row>
    <row r="1131" spans="2:4">
      <c r="B1131" s="120"/>
      <c r="C1131" s="121"/>
      <c r="D1131" s="68"/>
    </row>
    <row r="1132" spans="2:4">
      <c r="B1132" s="120"/>
      <c r="C1132" s="121"/>
      <c r="D1132" s="68"/>
    </row>
    <row r="1133" spans="2:4">
      <c r="B1133" s="120"/>
      <c r="C1133" s="121"/>
      <c r="D1133" s="68"/>
    </row>
    <row r="1134" spans="2:4">
      <c r="B1134" s="120"/>
      <c r="C1134" s="121"/>
      <c r="D1134" s="68"/>
    </row>
    <row r="1135" spans="2:4">
      <c r="B1135" s="120"/>
      <c r="C1135" s="121"/>
      <c r="D1135" s="68"/>
    </row>
    <row r="1136" spans="2:4">
      <c r="B1136" s="120"/>
      <c r="C1136" s="121"/>
      <c r="D1136" s="68"/>
    </row>
    <row r="1137" spans="2:4">
      <c r="B1137" s="120"/>
      <c r="C1137" s="121"/>
      <c r="D1137" s="68"/>
    </row>
    <row r="1138" spans="2:4">
      <c r="B1138" s="120"/>
      <c r="C1138" s="121"/>
      <c r="D1138" s="68"/>
    </row>
    <row r="1139" spans="2:4">
      <c r="B1139" s="120"/>
      <c r="C1139" s="121"/>
      <c r="D1139" s="68"/>
    </row>
    <row r="1140" spans="2:4">
      <c r="B1140" s="120"/>
      <c r="C1140" s="121"/>
      <c r="D1140" s="68"/>
    </row>
    <row r="1141" spans="2:4">
      <c r="B1141" s="120"/>
      <c r="C1141" s="121"/>
      <c r="D1141" s="68"/>
    </row>
    <row r="1142" spans="2:4">
      <c r="B1142" s="120"/>
      <c r="C1142" s="121"/>
      <c r="D1142" s="68"/>
    </row>
    <row r="1143" spans="2:4">
      <c r="B1143" s="120"/>
      <c r="C1143" s="121"/>
      <c r="D1143" s="68"/>
    </row>
    <row r="1144" spans="2:4">
      <c r="B1144" s="120"/>
      <c r="C1144" s="121"/>
      <c r="D1144" s="68"/>
    </row>
    <row r="1145" spans="2:4">
      <c r="B1145" s="120"/>
      <c r="C1145" s="121"/>
      <c r="D1145" s="68"/>
    </row>
    <row r="1146" spans="2:4">
      <c r="B1146" s="120"/>
      <c r="C1146" s="121"/>
      <c r="D1146" s="68"/>
    </row>
    <row r="1147" spans="2:4">
      <c r="B1147" s="120"/>
      <c r="C1147" s="121"/>
      <c r="D1147" s="68"/>
    </row>
    <row r="1148" spans="2:4">
      <c r="B1148" s="120"/>
      <c r="C1148" s="121"/>
      <c r="D1148" s="68"/>
    </row>
    <row r="1149" spans="2:4">
      <c r="B1149" s="120"/>
      <c r="C1149" s="121"/>
      <c r="D1149" s="68"/>
    </row>
    <row r="1150" spans="2:4">
      <c r="B1150" s="120"/>
      <c r="C1150" s="121"/>
      <c r="D1150" s="68"/>
    </row>
    <row r="1151" spans="2:4">
      <c r="B1151" s="120"/>
      <c r="C1151" s="121"/>
      <c r="D1151" s="68"/>
    </row>
    <row r="1152" spans="2:4">
      <c r="B1152" s="120"/>
      <c r="C1152" s="121"/>
      <c r="D1152" s="68"/>
    </row>
    <row r="1153" spans="2:4">
      <c r="B1153" s="120"/>
      <c r="C1153" s="121"/>
      <c r="D1153" s="68"/>
    </row>
    <row r="1154" spans="2:4">
      <c r="B1154" s="120"/>
      <c r="C1154" s="121"/>
      <c r="D1154" s="68"/>
    </row>
    <row r="1155" spans="2:4">
      <c r="B1155" s="120"/>
      <c r="C1155" s="121"/>
      <c r="D1155" s="68"/>
    </row>
    <row r="1156" spans="2:4">
      <c r="B1156" s="120"/>
      <c r="C1156" s="121"/>
      <c r="D1156" s="68"/>
    </row>
    <row r="1157" spans="2:4">
      <c r="B1157" s="120"/>
      <c r="C1157" s="121"/>
      <c r="D1157" s="68"/>
    </row>
    <row r="1158" spans="2:4">
      <c r="B1158" s="120"/>
      <c r="C1158" s="121"/>
      <c r="D1158" s="68"/>
    </row>
    <row r="1159" spans="2:4">
      <c r="B1159" s="120"/>
      <c r="C1159" s="121"/>
      <c r="D1159" s="68"/>
    </row>
    <row r="1160" spans="2:4">
      <c r="B1160" s="120"/>
      <c r="C1160" s="121"/>
      <c r="D1160" s="68"/>
    </row>
    <row r="1161" spans="2:4">
      <c r="B1161" s="120"/>
      <c r="C1161" s="121"/>
      <c r="D1161" s="68"/>
    </row>
    <row r="1162" spans="2:4">
      <c r="B1162" s="120"/>
      <c r="C1162" s="121"/>
      <c r="D1162" s="68"/>
    </row>
    <row r="1163" spans="2:4">
      <c r="B1163" s="120"/>
      <c r="C1163" s="121"/>
      <c r="D1163" s="68"/>
    </row>
    <row r="1164" spans="2:4">
      <c r="B1164" s="120"/>
      <c r="C1164" s="121"/>
      <c r="D1164" s="68"/>
    </row>
    <row r="1165" spans="2:4">
      <c r="B1165" s="120"/>
      <c r="C1165" s="121"/>
      <c r="D1165" s="68"/>
    </row>
    <row r="1166" spans="2:4">
      <c r="B1166" s="120"/>
      <c r="C1166" s="121"/>
      <c r="D1166" s="68"/>
    </row>
    <row r="1167" spans="2:4">
      <c r="B1167" s="120"/>
      <c r="C1167" s="121"/>
      <c r="D1167" s="68"/>
    </row>
    <row r="1168" spans="2:4">
      <c r="B1168" s="120"/>
      <c r="C1168" s="121"/>
      <c r="D1168" s="68"/>
    </row>
    <row r="1169" spans="2:4">
      <c r="B1169" s="120"/>
      <c r="C1169" s="121"/>
      <c r="D1169" s="68"/>
    </row>
    <row r="1170" spans="2:4">
      <c r="B1170" s="120"/>
      <c r="C1170" s="121"/>
      <c r="D1170" s="68"/>
    </row>
    <row r="1171" spans="2:4">
      <c r="B1171" s="120"/>
      <c r="C1171" s="121"/>
      <c r="D1171" s="68"/>
    </row>
    <row r="1172" spans="2:4">
      <c r="B1172" s="120"/>
      <c r="C1172" s="121"/>
      <c r="D1172" s="68"/>
    </row>
    <row r="1173" spans="2:4">
      <c r="B1173" s="120"/>
      <c r="C1173" s="121"/>
      <c r="D1173" s="68"/>
    </row>
    <row r="1174" spans="2:4">
      <c r="B1174" s="120"/>
      <c r="C1174" s="121"/>
      <c r="D1174" s="68"/>
    </row>
    <row r="1175" spans="2:4">
      <c r="B1175" s="120"/>
      <c r="C1175" s="121"/>
      <c r="D1175" s="68"/>
    </row>
    <row r="1176" spans="2:4">
      <c r="B1176" s="120"/>
      <c r="C1176" s="121"/>
      <c r="D1176" s="68"/>
    </row>
    <row r="1177" spans="2:4">
      <c r="B1177" s="120"/>
      <c r="C1177" s="121"/>
      <c r="D1177" s="68"/>
    </row>
    <row r="1178" spans="2:4">
      <c r="B1178" s="120"/>
      <c r="C1178" s="121"/>
      <c r="D1178" s="68"/>
    </row>
    <row r="1179" spans="2:4">
      <c r="B1179" s="120"/>
      <c r="C1179" s="121"/>
      <c r="D1179" s="68"/>
    </row>
    <row r="1180" spans="2:4">
      <c r="B1180" s="120"/>
      <c r="C1180" s="121"/>
      <c r="D1180" s="68"/>
    </row>
    <row r="1181" spans="2:4">
      <c r="B1181" s="120"/>
      <c r="C1181" s="121"/>
      <c r="D1181" s="68"/>
    </row>
    <row r="1182" spans="2:4">
      <c r="B1182" s="120"/>
      <c r="C1182" s="121"/>
      <c r="D1182" s="68"/>
    </row>
    <row r="1183" spans="2:4">
      <c r="B1183" s="120"/>
      <c r="C1183" s="121"/>
      <c r="D1183" s="68"/>
    </row>
    <row r="1184" spans="2:4">
      <c r="B1184" s="120"/>
      <c r="C1184" s="121"/>
      <c r="D1184" s="68"/>
    </row>
    <row r="1185" spans="2:4">
      <c r="B1185" s="120"/>
      <c r="C1185" s="121"/>
      <c r="D1185" s="68"/>
    </row>
    <row r="1186" spans="2:4">
      <c r="B1186" s="120"/>
      <c r="C1186" s="121"/>
      <c r="D1186" s="68"/>
    </row>
    <row r="1187" spans="2:4">
      <c r="B1187" s="120"/>
      <c r="C1187" s="121"/>
      <c r="D1187" s="68"/>
    </row>
    <row r="1188" spans="2:4">
      <c r="B1188" s="120"/>
      <c r="C1188" s="121"/>
      <c r="D1188" s="68"/>
    </row>
    <row r="1189" spans="2:4">
      <c r="B1189" s="120"/>
      <c r="C1189" s="121"/>
      <c r="D1189" s="68"/>
    </row>
    <row r="1190" spans="2:4">
      <c r="B1190" s="120"/>
      <c r="C1190" s="121"/>
      <c r="D1190" s="68"/>
    </row>
    <row r="1191" spans="2:4">
      <c r="B1191" s="120"/>
      <c r="C1191" s="121"/>
      <c r="D1191" s="68"/>
    </row>
    <row r="1192" spans="2:4">
      <c r="B1192" s="120"/>
      <c r="C1192" s="121"/>
      <c r="D1192" s="68"/>
    </row>
    <row r="1193" spans="2:4">
      <c r="B1193" s="120"/>
      <c r="C1193" s="121"/>
      <c r="D1193" s="68"/>
    </row>
    <row r="1194" spans="2:4">
      <c r="B1194" s="120"/>
      <c r="C1194" s="121"/>
      <c r="D1194" s="68"/>
    </row>
    <row r="1195" spans="2:4">
      <c r="B1195" s="120"/>
      <c r="C1195" s="121"/>
      <c r="D1195" s="68"/>
    </row>
    <row r="1196" spans="2:4">
      <c r="B1196" s="120"/>
      <c r="C1196" s="121"/>
      <c r="D1196" s="68"/>
    </row>
    <row r="1197" spans="2:4">
      <c r="B1197" s="120"/>
      <c r="C1197" s="121"/>
      <c r="D1197" s="68"/>
    </row>
    <row r="1198" spans="2:4">
      <c r="B1198" s="120"/>
      <c r="C1198" s="121"/>
      <c r="D1198" s="68"/>
    </row>
    <row r="1199" spans="2:4">
      <c r="B1199" s="120"/>
      <c r="C1199" s="121"/>
      <c r="D1199" s="68"/>
    </row>
    <row r="1200" spans="2:4">
      <c r="B1200" s="120"/>
      <c r="C1200" s="121"/>
      <c r="D1200" s="68"/>
    </row>
    <row r="1201" spans="2:4">
      <c r="B1201" s="120"/>
      <c r="C1201" s="121"/>
      <c r="D1201" s="68"/>
    </row>
    <row r="1202" spans="2:4">
      <c r="B1202" s="120"/>
      <c r="C1202" s="121"/>
      <c r="D1202" s="68"/>
    </row>
    <row r="1203" spans="2:4">
      <c r="B1203" s="120"/>
      <c r="C1203" s="121"/>
      <c r="D1203" s="68"/>
    </row>
    <row r="1204" spans="2:4">
      <c r="B1204" s="120"/>
      <c r="C1204" s="121"/>
      <c r="D1204" s="68"/>
    </row>
    <row r="1205" spans="2:4">
      <c r="B1205" s="120"/>
      <c r="C1205" s="121"/>
      <c r="D1205" s="68"/>
    </row>
    <row r="1206" spans="2:4">
      <c r="B1206" s="120"/>
      <c r="C1206" s="121"/>
      <c r="D1206" s="68"/>
    </row>
    <row r="1207" spans="2:4">
      <c r="B1207" s="120"/>
      <c r="C1207" s="121"/>
      <c r="D1207" s="68"/>
    </row>
    <row r="1208" spans="2:4">
      <c r="B1208" s="120"/>
      <c r="C1208" s="121"/>
      <c r="D1208" s="68"/>
    </row>
    <row r="1209" spans="2:4">
      <c r="B1209" s="120"/>
      <c r="C1209" s="121"/>
      <c r="D1209" s="68"/>
    </row>
    <row r="1210" spans="2:4">
      <c r="B1210" s="120"/>
      <c r="C1210" s="121"/>
      <c r="D1210" s="68"/>
    </row>
    <row r="1211" spans="2:4">
      <c r="B1211" s="120"/>
      <c r="C1211" s="121"/>
      <c r="D1211" s="68"/>
    </row>
    <row r="1212" spans="2:4">
      <c r="B1212" s="120"/>
      <c r="C1212" s="121"/>
      <c r="D1212" s="68"/>
    </row>
    <row r="1213" spans="2:4">
      <c r="B1213" s="120"/>
      <c r="C1213" s="121"/>
      <c r="D1213" s="68"/>
    </row>
    <row r="1214" spans="2:4">
      <c r="B1214" s="120"/>
      <c r="C1214" s="121"/>
      <c r="D1214" s="68"/>
    </row>
    <row r="1215" spans="2:4">
      <c r="B1215" s="120"/>
      <c r="C1215" s="121"/>
      <c r="D1215" s="68"/>
    </row>
    <row r="1216" spans="2:4">
      <c r="B1216" s="120"/>
      <c r="C1216" s="121"/>
      <c r="D1216" s="68"/>
    </row>
    <row r="1217" spans="2:4">
      <c r="B1217" s="120"/>
      <c r="C1217" s="121"/>
      <c r="D1217" s="68"/>
    </row>
    <row r="1218" spans="2:4">
      <c r="B1218" s="120"/>
      <c r="C1218" s="121"/>
      <c r="D1218" s="68"/>
    </row>
    <row r="1219" spans="2:4">
      <c r="B1219" s="120"/>
      <c r="C1219" s="121"/>
      <c r="D1219" s="68"/>
    </row>
    <row r="1220" spans="2:4">
      <c r="B1220" s="120"/>
      <c r="C1220" s="121"/>
      <c r="D1220" s="68"/>
    </row>
    <row r="1221" spans="2:4">
      <c r="B1221" s="120"/>
      <c r="C1221" s="121"/>
      <c r="D1221" s="68"/>
    </row>
    <row r="1222" spans="2:4">
      <c r="B1222" s="120"/>
      <c r="C1222" s="121"/>
      <c r="D1222" s="68"/>
    </row>
    <row r="1223" spans="2:4">
      <c r="B1223" s="120"/>
      <c r="C1223" s="121"/>
      <c r="D1223" s="68"/>
    </row>
    <row r="1224" spans="2:4">
      <c r="B1224" s="120"/>
      <c r="C1224" s="121"/>
      <c r="D1224" s="68"/>
    </row>
    <row r="1225" spans="2:4">
      <c r="B1225" s="120"/>
      <c r="C1225" s="121"/>
      <c r="D1225" s="68"/>
    </row>
    <row r="1226" spans="2:4">
      <c r="B1226" s="120"/>
      <c r="C1226" s="121"/>
      <c r="D1226" s="68"/>
    </row>
    <row r="1227" spans="2:4">
      <c r="B1227" s="120"/>
      <c r="C1227" s="121"/>
      <c r="D1227" s="68"/>
    </row>
    <row r="1228" spans="2:4">
      <c r="B1228" s="120"/>
      <c r="C1228" s="121"/>
      <c r="D1228" s="68"/>
    </row>
    <row r="1229" spans="2:4">
      <c r="B1229" s="120"/>
      <c r="C1229" s="121"/>
      <c r="D1229" s="68"/>
    </row>
    <row r="1230" spans="2:4">
      <c r="B1230" s="120"/>
      <c r="C1230" s="121"/>
      <c r="D1230" s="68"/>
    </row>
    <row r="1231" spans="2:4">
      <c r="B1231" s="120"/>
      <c r="C1231" s="121"/>
      <c r="D1231" s="68"/>
    </row>
    <row r="1232" spans="2:4">
      <c r="B1232" s="120"/>
      <c r="C1232" s="121"/>
      <c r="D1232" s="68"/>
    </row>
    <row r="1233" spans="2:4">
      <c r="B1233" s="120"/>
      <c r="C1233" s="121"/>
      <c r="D1233" s="68"/>
    </row>
    <row r="1234" spans="2:4">
      <c r="B1234" s="120"/>
      <c r="C1234" s="121"/>
      <c r="D1234" s="68"/>
    </row>
    <row r="1235" spans="2:4">
      <c r="B1235" s="120"/>
      <c r="C1235" s="121"/>
      <c r="D1235" s="68"/>
    </row>
    <row r="1236" spans="2:4">
      <c r="B1236" s="120"/>
      <c r="C1236" s="121"/>
      <c r="D1236" s="68"/>
    </row>
    <row r="1237" spans="2:4">
      <c r="B1237" s="120"/>
      <c r="C1237" s="121"/>
      <c r="D1237" s="68"/>
    </row>
    <row r="1238" spans="2:4">
      <c r="B1238" s="120"/>
      <c r="C1238" s="121"/>
      <c r="D1238" s="68"/>
    </row>
    <row r="1239" spans="2:4">
      <c r="B1239" s="120"/>
      <c r="C1239" s="121"/>
      <c r="D1239" s="68"/>
    </row>
    <row r="1240" spans="2:4">
      <c r="B1240" s="120"/>
      <c r="C1240" s="121"/>
      <c r="D1240" s="68"/>
    </row>
    <row r="1241" spans="2:4">
      <c r="B1241" s="120"/>
      <c r="C1241" s="121"/>
      <c r="D1241" s="68"/>
    </row>
    <row r="1242" spans="2:4">
      <c r="B1242" s="120"/>
      <c r="C1242" s="121"/>
      <c r="D1242" s="68"/>
    </row>
    <row r="1243" spans="2:4">
      <c r="B1243" s="120"/>
      <c r="C1243" s="121"/>
      <c r="D1243" s="68"/>
    </row>
    <row r="1244" spans="2:4">
      <c r="B1244" s="120"/>
      <c r="C1244" s="121"/>
      <c r="D1244" s="68"/>
    </row>
    <row r="1245" spans="2:4">
      <c r="B1245" s="120"/>
      <c r="C1245" s="121"/>
      <c r="D1245" s="68"/>
    </row>
    <row r="1246" spans="2:4">
      <c r="B1246" s="120"/>
      <c r="C1246" s="121"/>
      <c r="D1246" s="68"/>
    </row>
    <row r="1247" spans="2:4">
      <c r="B1247" s="120"/>
      <c r="C1247" s="121"/>
      <c r="D1247" s="68"/>
    </row>
    <row r="1248" spans="2:4">
      <c r="B1248" s="120"/>
      <c r="C1248" s="121"/>
      <c r="D1248" s="68"/>
    </row>
    <row r="1249" spans="2:4">
      <c r="B1249" s="120"/>
      <c r="C1249" s="121"/>
      <c r="D1249" s="68"/>
    </row>
    <row r="1250" spans="2:4">
      <c r="B1250" s="120"/>
      <c r="C1250" s="121"/>
      <c r="D1250" s="68"/>
    </row>
    <row r="1251" spans="2:4">
      <c r="B1251" s="120"/>
      <c r="C1251" s="121"/>
      <c r="D1251" s="68"/>
    </row>
    <row r="1252" spans="2:4">
      <c r="B1252" s="120"/>
      <c r="C1252" s="121"/>
      <c r="D1252" s="68"/>
    </row>
    <row r="1253" spans="2:4">
      <c r="B1253" s="120"/>
      <c r="C1253" s="121"/>
      <c r="D1253" s="68"/>
    </row>
    <row r="1254" spans="2:4">
      <c r="B1254" s="120"/>
      <c r="C1254" s="121"/>
      <c r="D1254" s="68"/>
    </row>
    <row r="1255" spans="2:4">
      <c r="B1255" s="120"/>
      <c r="C1255" s="121"/>
      <c r="D1255" s="68"/>
    </row>
    <row r="1256" spans="2:4">
      <c r="B1256" s="120"/>
      <c r="C1256" s="121"/>
      <c r="D1256" s="68"/>
    </row>
    <row r="1257" spans="2:4">
      <c r="B1257" s="120"/>
      <c r="C1257" s="121"/>
      <c r="D1257" s="68"/>
    </row>
    <row r="1258" spans="2:4">
      <c r="B1258" s="120"/>
      <c r="C1258" s="121"/>
      <c r="D1258" s="68"/>
    </row>
    <row r="1259" spans="2:4">
      <c r="B1259" s="120"/>
      <c r="C1259" s="121"/>
      <c r="D1259" s="68"/>
    </row>
    <row r="1260" spans="2:4">
      <c r="B1260" s="120"/>
      <c r="C1260" s="121"/>
      <c r="D1260" s="68"/>
    </row>
    <row r="1261" spans="2:4">
      <c r="B1261" s="120"/>
      <c r="C1261" s="121"/>
      <c r="D1261" s="68"/>
    </row>
    <row r="1262" spans="2:4">
      <c r="B1262" s="120"/>
      <c r="C1262" s="121"/>
      <c r="D1262" s="68"/>
    </row>
    <row r="1263" spans="2:4">
      <c r="B1263" s="120"/>
      <c r="C1263" s="121"/>
      <c r="D1263" s="68"/>
    </row>
    <row r="1264" spans="2:4">
      <c r="B1264" s="120"/>
      <c r="C1264" s="121"/>
      <c r="D1264" s="68"/>
    </row>
    <row r="1265" spans="2:4">
      <c r="B1265" s="120"/>
      <c r="C1265" s="121"/>
      <c r="D1265" s="68"/>
    </row>
    <row r="1266" spans="2:4">
      <c r="B1266" s="120"/>
      <c r="C1266" s="121"/>
      <c r="D1266" s="68"/>
    </row>
    <row r="1267" spans="2:4">
      <c r="B1267" s="120"/>
      <c r="C1267" s="121"/>
      <c r="D1267" s="68"/>
    </row>
    <row r="1268" spans="2:4">
      <c r="B1268" s="120"/>
      <c r="C1268" s="121"/>
      <c r="D1268" s="68"/>
    </row>
    <row r="1269" spans="2:4">
      <c r="B1269" s="120"/>
      <c r="C1269" s="121"/>
      <c r="D1269" s="68"/>
    </row>
    <row r="1270" spans="2:4">
      <c r="B1270" s="120"/>
      <c r="C1270" s="121"/>
      <c r="D1270" s="68"/>
    </row>
    <row r="1271" spans="2:4">
      <c r="B1271" s="120"/>
      <c r="C1271" s="121"/>
      <c r="D1271" s="68"/>
    </row>
    <row r="1272" spans="2:4">
      <c r="B1272" s="120"/>
      <c r="C1272" s="121"/>
      <c r="D1272" s="68"/>
    </row>
    <row r="1273" spans="2:4">
      <c r="B1273" s="120"/>
      <c r="C1273" s="121"/>
      <c r="D1273" s="68"/>
    </row>
    <row r="1274" spans="2:4">
      <c r="B1274" s="120"/>
      <c r="C1274" s="121"/>
      <c r="D1274" s="68"/>
    </row>
    <row r="1275" spans="2:4">
      <c r="B1275" s="120"/>
      <c r="C1275" s="121"/>
      <c r="D1275" s="68"/>
    </row>
    <row r="1276" spans="2:4">
      <c r="B1276" s="120"/>
      <c r="C1276" s="121"/>
      <c r="D1276" s="68"/>
    </row>
    <row r="1277" spans="2:4">
      <c r="B1277" s="120"/>
      <c r="C1277" s="121"/>
      <c r="D1277" s="68"/>
    </row>
    <row r="1278" spans="2:4">
      <c r="B1278" s="120"/>
      <c r="C1278" s="121"/>
      <c r="D1278" s="68"/>
    </row>
    <row r="1279" spans="2:4">
      <c r="B1279" s="120"/>
      <c r="C1279" s="121"/>
      <c r="D1279" s="68"/>
    </row>
    <row r="1280" spans="2:4">
      <c r="B1280" s="120"/>
      <c r="C1280" s="121"/>
      <c r="D1280" s="68"/>
    </row>
    <row r="1281" spans="2:4">
      <c r="B1281" s="120"/>
      <c r="C1281" s="121"/>
      <c r="D1281" s="68"/>
    </row>
    <row r="1282" spans="2:4">
      <c r="B1282" s="120"/>
      <c r="C1282" s="121"/>
      <c r="D1282" s="68"/>
    </row>
    <row r="1283" spans="2:4">
      <c r="B1283" s="120"/>
      <c r="C1283" s="121"/>
      <c r="D1283" s="68"/>
    </row>
    <row r="1284" spans="2:4">
      <c r="B1284" s="120"/>
      <c r="C1284" s="121"/>
      <c r="D1284" s="68"/>
    </row>
    <row r="1285" spans="2:4">
      <c r="B1285" s="120"/>
      <c r="C1285" s="121"/>
      <c r="D1285" s="68"/>
    </row>
    <row r="1286" spans="2:4">
      <c r="B1286" s="120"/>
      <c r="C1286" s="121"/>
      <c r="D1286" s="68"/>
    </row>
    <row r="1287" spans="2:4">
      <c r="B1287" s="120"/>
      <c r="C1287" s="121"/>
      <c r="D1287" s="68"/>
    </row>
    <row r="1288" spans="2:4">
      <c r="B1288" s="120"/>
      <c r="C1288" s="121"/>
      <c r="D1288" s="68"/>
    </row>
    <row r="1289" spans="2:4">
      <c r="B1289" s="120"/>
      <c r="C1289" s="121"/>
      <c r="D1289" s="68"/>
    </row>
    <row r="1290" spans="2:4">
      <c r="B1290" s="120"/>
      <c r="C1290" s="121"/>
      <c r="D1290" s="68"/>
    </row>
    <row r="1291" spans="2:4">
      <c r="B1291" s="120"/>
      <c r="C1291" s="121"/>
      <c r="D1291" s="68"/>
    </row>
    <row r="1292" spans="2:4">
      <c r="B1292" s="120"/>
      <c r="C1292" s="121"/>
      <c r="D1292" s="68"/>
    </row>
    <row r="1293" spans="2:4">
      <c r="B1293" s="120"/>
      <c r="C1293" s="121"/>
      <c r="D1293" s="68"/>
    </row>
    <row r="1294" spans="2:4">
      <c r="B1294" s="120"/>
      <c r="C1294" s="121"/>
      <c r="D1294" s="68"/>
    </row>
    <row r="1295" spans="2:4">
      <c r="B1295" s="120"/>
      <c r="C1295" s="121"/>
      <c r="D1295" s="68"/>
    </row>
    <row r="1296" spans="2:4">
      <c r="B1296" s="120"/>
      <c r="C1296" s="121"/>
      <c r="D1296" s="68"/>
    </row>
    <row r="1297" spans="2:4">
      <c r="B1297" s="120"/>
      <c r="C1297" s="121"/>
      <c r="D1297" s="68"/>
    </row>
    <row r="1298" spans="2:4">
      <c r="B1298" s="120"/>
      <c r="C1298" s="121"/>
      <c r="D1298" s="68"/>
    </row>
    <row r="1299" spans="2:4">
      <c r="B1299" s="120"/>
      <c r="C1299" s="121"/>
      <c r="D1299" s="68"/>
    </row>
    <row r="1300" spans="2:4">
      <c r="B1300" s="120"/>
      <c r="C1300" s="121"/>
      <c r="D1300" s="68"/>
    </row>
    <row r="1301" spans="2:4">
      <c r="B1301" s="120"/>
      <c r="C1301" s="121"/>
      <c r="D1301" s="68"/>
    </row>
    <row r="1302" spans="2:4">
      <c r="B1302" s="120"/>
      <c r="C1302" s="121"/>
      <c r="D1302" s="68"/>
    </row>
    <row r="1303" spans="2:4">
      <c r="B1303" s="120"/>
      <c r="C1303" s="121"/>
      <c r="D1303" s="68"/>
    </row>
    <row r="1304" spans="2:4">
      <c r="B1304" s="120"/>
      <c r="C1304" s="121"/>
      <c r="D1304" s="68"/>
    </row>
    <row r="1305" spans="2:4">
      <c r="B1305" s="120"/>
      <c r="C1305" s="121"/>
      <c r="D1305" s="68"/>
    </row>
    <row r="1306" spans="2:4">
      <c r="B1306" s="120"/>
      <c r="C1306" s="121"/>
      <c r="D1306" s="68"/>
    </row>
    <row r="1307" spans="2:4">
      <c r="B1307" s="120"/>
      <c r="C1307" s="121"/>
      <c r="D1307" s="68"/>
    </row>
    <row r="1308" spans="2:4">
      <c r="B1308" s="120"/>
      <c r="C1308" s="121"/>
      <c r="D1308" s="68"/>
    </row>
    <row r="1309" spans="2:4">
      <c r="B1309" s="120"/>
      <c r="C1309" s="121"/>
      <c r="D1309" s="68"/>
    </row>
    <row r="1310" spans="2:4">
      <c r="B1310" s="120"/>
      <c r="C1310" s="121"/>
      <c r="D1310" s="68"/>
    </row>
    <row r="1311" spans="2:4">
      <c r="B1311" s="120"/>
      <c r="C1311" s="121"/>
      <c r="D1311" s="68"/>
    </row>
    <row r="1312" spans="2:4">
      <c r="B1312" s="120"/>
      <c r="C1312" s="121"/>
      <c r="D1312" s="68"/>
    </row>
    <row r="1313" spans="2:4">
      <c r="B1313" s="120"/>
      <c r="C1313" s="121"/>
      <c r="D1313" s="68"/>
    </row>
    <row r="1314" spans="2:4">
      <c r="B1314" s="120"/>
      <c r="C1314" s="121"/>
      <c r="D1314" s="68"/>
    </row>
    <row r="1315" spans="2:4">
      <c r="B1315" s="120"/>
      <c r="C1315" s="121"/>
      <c r="D1315" s="68"/>
    </row>
    <row r="1316" spans="2:4">
      <c r="B1316" s="120"/>
      <c r="C1316" s="121"/>
      <c r="D1316" s="68"/>
    </row>
    <row r="1317" spans="2:4">
      <c r="B1317" s="120"/>
      <c r="C1317" s="121"/>
      <c r="D1317" s="68"/>
    </row>
    <row r="1318" spans="2:4">
      <c r="B1318" s="120"/>
      <c r="C1318" s="121"/>
      <c r="D1318" s="68"/>
    </row>
    <row r="1319" spans="2:4">
      <c r="B1319" s="120"/>
      <c r="C1319" s="121"/>
      <c r="D1319" s="68"/>
    </row>
    <row r="1320" spans="2:4">
      <c r="B1320" s="120"/>
      <c r="C1320" s="121"/>
      <c r="D1320" s="68"/>
    </row>
    <row r="1321" spans="2:4">
      <c r="B1321" s="120"/>
      <c r="C1321" s="121"/>
      <c r="D1321" s="68"/>
    </row>
    <row r="1322" spans="2:4">
      <c r="B1322" s="120"/>
      <c r="C1322" s="121"/>
      <c r="D1322" s="68"/>
    </row>
    <row r="1323" spans="2:4">
      <c r="B1323" s="120"/>
      <c r="C1323" s="121"/>
      <c r="D1323" s="68"/>
    </row>
    <row r="1324" spans="2:4">
      <c r="B1324" s="120"/>
      <c r="C1324" s="121"/>
      <c r="D1324" s="68"/>
    </row>
    <row r="1325" spans="2:4">
      <c r="B1325" s="120"/>
      <c r="C1325" s="121"/>
      <c r="D1325" s="68"/>
    </row>
    <row r="1326" spans="2:4">
      <c r="B1326" s="120"/>
      <c r="C1326" s="121"/>
      <c r="D1326" s="68"/>
    </row>
    <row r="1327" spans="2:4">
      <c r="B1327" s="120"/>
      <c r="C1327" s="121"/>
      <c r="D1327" s="68"/>
    </row>
    <row r="1328" spans="2:4">
      <c r="B1328" s="120"/>
      <c r="C1328" s="121"/>
      <c r="D1328" s="68"/>
    </row>
    <row r="1329" spans="2:4">
      <c r="B1329" s="120"/>
      <c r="C1329" s="121"/>
      <c r="D1329" s="68"/>
    </row>
    <row r="1330" spans="2:4">
      <c r="B1330" s="120"/>
      <c r="C1330" s="121"/>
      <c r="D1330" s="68"/>
    </row>
    <row r="1331" spans="2:4">
      <c r="B1331" s="120"/>
      <c r="C1331" s="121"/>
      <c r="D1331" s="68"/>
    </row>
    <row r="1332" spans="2:4">
      <c r="B1332" s="120"/>
      <c r="C1332" s="121"/>
      <c r="D1332" s="68"/>
    </row>
    <row r="1333" spans="2:4">
      <c r="B1333" s="120"/>
      <c r="C1333" s="121"/>
      <c r="D1333" s="68"/>
    </row>
    <row r="1334" spans="2:4">
      <c r="B1334" s="120"/>
      <c r="C1334" s="121"/>
      <c r="D1334" s="68"/>
    </row>
    <row r="1335" spans="2:4">
      <c r="B1335" s="120"/>
      <c r="C1335" s="121"/>
      <c r="D1335" s="68"/>
    </row>
    <row r="1336" spans="2:4">
      <c r="B1336" s="120"/>
      <c r="C1336" s="121"/>
      <c r="D1336" s="68"/>
    </row>
    <row r="1337" spans="2:4">
      <c r="B1337" s="120"/>
      <c r="C1337" s="121"/>
      <c r="D1337" s="68"/>
    </row>
    <row r="1338" spans="2:4">
      <c r="B1338" s="120"/>
      <c r="C1338" s="121"/>
      <c r="D1338" s="68"/>
    </row>
    <row r="1339" spans="2:4">
      <c r="B1339" s="120"/>
      <c r="C1339" s="121"/>
      <c r="D1339" s="68"/>
    </row>
    <row r="1340" spans="2:4">
      <c r="B1340" s="120"/>
      <c r="C1340" s="121"/>
      <c r="D1340" s="68"/>
    </row>
    <row r="1341" spans="2:4">
      <c r="B1341" s="120"/>
      <c r="C1341" s="121"/>
      <c r="D1341" s="68"/>
    </row>
    <row r="1342" spans="2:4">
      <c r="B1342" s="120"/>
      <c r="C1342" s="121"/>
      <c r="D1342" s="68"/>
    </row>
    <row r="1343" spans="2:4">
      <c r="B1343" s="120"/>
      <c r="C1343" s="121"/>
      <c r="D1343" s="68"/>
    </row>
    <row r="1344" spans="2:4">
      <c r="B1344" s="120"/>
      <c r="C1344" s="121"/>
      <c r="D1344" s="68"/>
    </row>
    <row r="1345" spans="2:4">
      <c r="B1345" s="120"/>
      <c r="C1345" s="121"/>
      <c r="D1345" s="68"/>
    </row>
    <row r="1346" spans="2:4">
      <c r="B1346" s="120"/>
      <c r="C1346" s="121"/>
      <c r="D1346" s="68"/>
    </row>
    <row r="1347" spans="2:4">
      <c r="B1347" s="120"/>
      <c r="C1347" s="121"/>
      <c r="D1347" s="68"/>
    </row>
    <row r="1348" spans="2:4">
      <c r="B1348" s="120"/>
      <c r="C1348" s="121"/>
      <c r="D1348" s="68"/>
    </row>
    <row r="1349" spans="2:4">
      <c r="B1349" s="120"/>
      <c r="C1349" s="121"/>
      <c r="D1349" s="68"/>
    </row>
    <row r="1350" spans="2:4">
      <c r="B1350" s="120"/>
      <c r="C1350" s="121"/>
      <c r="D1350" s="68"/>
    </row>
    <row r="1351" spans="2:4">
      <c r="B1351" s="120"/>
      <c r="C1351" s="121"/>
      <c r="D1351" s="68"/>
    </row>
    <row r="1352" spans="2:4">
      <c r="B1352" s="120"/>
      <c r="C1352" s="121"/>
      <c r="D1352" s="68"/>
    </row>
    <row r="1353" spans="2:4">
      <c r="B1353" s="120"/>
      <c r="C1353" s="121"/>
      <c r="D1353" s="68"/>
    </row>
    <row r="1354" spans="2:4">
      <c r="B1354" s="120"/>
      <c r="C1354" s="121"/>
      <c r="D1354" s="68"/>
    </row>
    <row r="1355" spans="2:4">
      <c r="B1355" s="120"/>
      <c r="C1355" s="121"/>
      <c r="D1355" s="68"/>
    </row>
    <row r="1356" spans="2:4">
      <c r="B1356" s="120"/>
      <c r="C1356" s="121"/>
      <c r="D1356" s="68"/>
    </row>
    <row r="1357" spans="2:4">
      <c r="B1357" s="120"/>
      <c r="C1357" s="121"/>
      <c r="D1357" s="68"/>
    </row>
    <row r="1358" spans="2:4">
      <c r="B1358" s="120"/>
      <c r="C1358" s="121"/>
      <c r="D1358" s="68"/>
    </row>
    <row r="1359" spans="2:4">
      <c r="B1359" s="120"/>
      <c r="C1359" s="121"/>
      <c r="D1359" s="68"/>
    </row>
    <row r="1360" spans="2:4">
      <c r="B1360" s="120"/>
      <c r="C1360" s="121"/>
      <c r="D1360" s="68"/>
    </row>
    <row r="1361" spans="2:4">
      <c r="B1361" s="120"/>
      <c r="C1361" s="121"/>
      <c r="D1361" s="68"/>
    </row>
    <row r="1362" spans="2:4">
      <c r="B1362" s="120"/>
      <c r="C1362" s="121"/>
      <c r="D1362" s="68"/>
    </row>
    <row r="1363" spans="2:4">
      <c r="B1363" s="120"/>
      <c r="C1363" s="121"/>
      <c r="D1363" s="68"/>
    </row>
    <row r="1364" spans="2:4">
      <c r="B1364" s="120"/>
      <c r="C1364" s="121"/>
      <c r="D1364" s="68"/>
    </row>
    <row r="1365" spans="2:4">
      <c r="B1365" s="120"/>
      <c r="C1365" s="121"/>
      <c r="D1365" s="68"/>
    </row>
    <row r="1366" spans="2:4">
      <c r="B1366" s="120"/>
      <c r="C1366" s="121"/>
      <c r="D1366" s="68"/>
    </row>
    <row r="1367" spans="2:4">
      <c r="B1367" s="120"/>
      <c r="C1367" s="121"/>
      <c r="D1367" s="68"/>
    </row>
    <row r="1368" spans="2:4">
      <c r="B1368" s="120"/>
      <c r="C1368" s="121"/>
      <c r="D1368" s="68"/>
    </row>
    <row r="1369" spans="2:4">
      <c r="B1369" s="120"/>
      <c r="C1369" s="121"/>
      <c r="D1369" s="68"/>
    </row>
    <row r="1370" spans="2:4">
      <c r="B1370" s="120"/>
      <c r="C1370" s="121"/>
      <c r="D1370" s="68"/>
    </row>
    <row r="1371" spans="2:4">
      <c r="B1371" s="120"/>
      <c r="C1371" s="121"/>
      <c r="D1371" s="68"/>
    </row>
    <row r="1372" spans="2:4">
      <c r="B1372" s="120"/>
      <c r="C1372" s="121"/>
      <c r="D1372" s="68"/>
    </row>
    <row r="1373" spans="2:4">
      <c r="B1373" s="120"/>
      <c r="C1373" s="121"/>
      <c r="D1373" s="68"/>
    </row>
    <row r="1374" spans="2:4">
      <c r="B1374" s="120"/>
      <c r="C1374" s="121"/>
      <c r="D1374" s="68"/>
    </row>
    <row r="1375" spans="2:4">
      <c r="B1375" s="120"/>
      <c r="C1375" s="121"/>
      <c r="D1375" s="68"/>
    </row>
    <row r="1376" spans="2:4">
      <c r="B1376" s="120"/>
      <c r="C1376" s="121"/>
      <c r="D1376" s="68"/>
    </row>
    <row r="1377" spans="2:4">
      <c r="B1377" s="120"/>
      <c r="C1377" s="121"/>
      <c r="D1377" s="68"/>
    </row>
    <row r="1378" spans="2:4">
      <c r="B1378" s="120"/>
      <c r="C1378" s="121"/>
      <c r="D1378" s="68"/>
    </row>
    <row r="1379" spans="2:4">
      <c r="B1379" s="120"/>
      <c r="C1379" s="121"/>
      <c r="D1379" s="68"/>
    </row>
    <row r="1380" spans="2:4">
      <c r="B1380" s="120"/>
      <c r="C1380" s="121"/>
      <c r="D1380" s="68"/>
    </row>
    <row r="1381" spans="2:4">
      <c r="B1381" s="120"/>
      <c r="C1381" s="121"/>
      <c r="D1381" s="68"/>
    </row>
    <row r="1382" spans="2:4">
      <c r="B1382" s="120"/>
      <c r="C1382" s="121"/>
      <c r="D1382" s="68"/>
    </row>
    <row r="1383" spans="2:4">
      <c r="B1383" s="120"/>
      <c r="C1383" s="121"/>
      <c r="D1383" s="68"/>
    </row>
    <row r="1384" spans="2:4">
      <c r="B1384" s="120"/>
      <c r="C1384" s="121"/>
      <c r="D1384" s="68"/>
    </row>
    <row r="1385" spans="2:4">
      <c r="B1385" s="120"/>
      <c r="C1385" s="121"/>
      <c r="D1385" s="68"/>
    </row>
    <row r="1386" spans="2:4">
      <c r="B1386" s="120"/>
      <c r="C1386" s="121"/>
      <c r="D1386" s="68"/>
    </row>
    <row r="1387" spans="2:4">
      <c r="B1387" s="120"/>
      <c r="C1387" s="121"/>
      <c r="D1387" s="68"/>
    </row>
    <row r="1388" spans="2:4">
      <c r="B1388" s="120"/>
      <c r="C1388" s="121"/>
      <c r="D1388" s="68"/>
    </row>
    <row r="1389" spans="2:4">
      <c r="B1389" s="120"/>
      <c r="C1389" s="121"/>
      <c r="D1389" s="68"/>
    </row>
    <row r="1390" spans="2:4">
      <c r="B1390" s="120"/>
      <c r="C1390" s="121"/>
      <c r="D1390" s="68"/>
    </row>
    <row r="1391" spans="2:4">
      <c r="B1391" s="120"/>
      <c r="C1391" s="121"/>
      <c r="D1391" s="68"/>
    </row>
    <row r="1392" spans="2:4">
      <c r="B1392" s="120"/>
      <c r="C1392" s="121"/>
      <c r="D1392" s="68"/>
    </row>
    <row r="1393" spans="2:4">
      <c r="B1393" s="120"/>
      <c r="C1393" s="121"/>
      <c r="D1393" s="68"/>
    </row>
    <row r="1394" spans="2:4">
      <c r="B1394" s="120"/>
      <c r="C1394" s="121"/>
      <c r="D1394" s="68"/>
    </row>
    <row r="1395" spans="2:4">
      <c r="B1395" s="120"/>
      <c r="C1395" s="121"/>
      <c r="D1395" s="68"/>
    </row>
    <row r="1396" spans="2:4">
      <c r="B1396" s="120"/>
      <c r="C1396" s="121"/>
      <c r="D1396" s="68"/>
    </row>
    <row r="1397" spans="2:4">
      <c r="B1397" s="120"/>
      <c r="C1397" s="121"/>
      <c r="D1397" s="68"/>
    </row>
    <row r="1398" spans="2:4">
      <c r="B1398" s="120"/>
      <c r="C1398" s="121"/>
      <c r="D1398" s="68"/>
    </row>
    <row r="1399" spans="2:4">
      <c r="B1399" s="120"/>
      <c r="C1399" s="121"/>
      <c r="D1399" s="68"/>
    </row>
    <row r="1400" spans="2:4">
      <c r="B1400" s="120"/>
      <c r="C1400" s="121"/>
      <c r="D1400" s="68"/>
    </row>
    <row r="1401" spans="2:4">
      <c r="B1401" s="120"/>
      <c r="C1401" s="121"/>
      <c r="D1401" s="68"/>
    </row>
    <row r="1402" spans="2:4">
      <c r="B1402" s="120"/>
      <c r="C1402" s="121"/>
      <c r="D1402" s="68"/>
    </row>
    <row r="1403" spans="2:4">
      <c r="B1403" s="120"/>
      <c r="C1403" s="121"/>
      <c r="D1403" s="68"/>
    </row>
    <row r="1404" spans="2:4">
      <c r="B1404" s="120"/>
      <c r="C1404" s="121"/>
      <c r="D1404" s="68"/>
    </row>
    <row r="1405" spans="2:4">
      <c r="B1405" s="120"/>
      <c r="C1405" s="121"/>
      <c r="D1405" s="68"/>
    </row>
    <row r="1406" spans="2:4">
      <c r="B1406" s="120"/>
      <c r="C1406" s="121"/>
      <c r="D1406" s="68"/>
    </row>
    <row r="1407" spans="2:4">
      <c r="B1407" s="120"/>
      <c r="C1407" s="121"/>
      <c r="D1407" s="68"/>
    </row>
    <row r="1408" spans="2:4">
      <c r="B1408" s="120"/>
      <c r="C1408" s="121"/>
      <c r="D1408" s="68"/>
    </row>
    <row r="1409" spans="2:4">
      <c r="B1409" s="120"/>
      <c r="C1409" s="121"/>
      <c r="D1409" s="68"/>
    </row>
    <row r="1410" spans="2:4">
      <c r="B1410" s="120"/>
      <c r="C1410" s="121"/>
      <c r="D1410" s="68"/>
    </row>
    <row r="1411" spans="2:4">
      <c r="B1411" s="120"/>
      <c r="C1411" s="121"/>
      <c r="D1411" s="68"/>
    </row>
    <row r="1412" spans="2:4">
      <c r="B1412" s="120"/>
      <c r="C1412" s="121"/>
      <c r="D1412" s="68"/>
    </row>
    <row r="1413" spans="2:4">
      <c r="B1413" s="120"/>
      <c r="C1413" s="121"/>
      <c r="D1413" s="68"/>
    </row>
    <row r="1414" spans="2:4">
      <c r="B1414" s="120"/>
      <c r="C1414" s="121"/>
      <c r="D1414" s="68"/>
    </row>
    <row r="1415" spans="2:4">
      <c r="B1415" s="120"/>
      <c r="C1415" s="121"/>
      <c r="D1415" s="68"/>
    </row>
    <row r="1416" spans="2:4">
      <c r="B1416" s="120"/>
      <c r="C1416" s="121"/>
      <c r="D1416" s="68"/>
    </row>
    <row r="1417" spans="2:4">
      <c r="B1417" s="120"/>
      <c r="C1417" s="121"/>
      <c r="D1417" s="68"/>
    </row>
    <row r="1418" spans="2:4">
      <c r="B1418" s="120"/>
      <c r="C1418" s="121"/>
      <c r="D1418" s="68"/>
    </row>
    <row r="1419" spans="2:4">
      <c r="B1419" s="120"/>
      <c r="C1419" s="121"/>
      <c r="D1419" s="68"/>
    </row>
    <row r="1420" spans="2:4">
      <c r="B1420" s="120"/>
      <c r="C1420" s="121"/>
      <c r="D1420" s="68"/>
    </row>
    <row r="1421" spans="2:4">
      <c r="B1421" s="120"/>
      <c r="C1421" s="121"/>
      <c r="D1421" s="68"/>
    </row>
    <row r="1422" spans="2:4">
      <c r="B1422" s="120"/>
      <c r="C1422" s="121"/>
      <c r="D1422" s="68"/>
    </row>
    <row r="1423" spans="2:4">
      <c r="B1423" s="120"/>
      <c r="C1423" s="121"/>
      <c r="D1423" s="68"/>
    </row>
    <row r="1424" spans="2:4">
      <c r="B1424" s="120"/>
      <c r="C1424" s="121"/>
      <c r="D1424" s="68"/>
    </row>
    <row r="1425" spans="2:4">
      <c r="B1425" s="120"/>
      <c r="C1425" s="121"/>
      <c r="D1425" s="68"/>
    </row>
    <row r="1426" spans="2:4">
      <c r="B1426" s="120"/>
      <c r="C1426" s="121"/>
      <c r="D1426" s="68"/>
    </row>
    <row r="1427" spans="2:4">
      <c r="B1427" s="120"/>
      <c r="C1427" s="121"/>
      <c r="D1427" s="68"/>
    </row>
    <row r="1428" spans="2:4">
      <c r="B1428" s="120"/>
      <c r="C1428" s="121"/>
      <c r="D1428" s="68"/>
    </row>
    <row r="1429" spans="2:4">
      <c r="B1429" s="120"/>
      <c r="C1429" s="121"/>
      <c r="D1429" s="68"/>
    </row>
    <row r="1430" spans="2:4">
      <c r="B1430" s="120"/>
      <c r="C1430" s="121"/>
      <c r="D1430" s="68"/>
    </row>
    <row r="1431" spans="2:4">
      <c r="B1431" s="120"/>
      <c r="C1431" s="121"/>
      <c r="D1431" s="68"/>
    </row>
    <row r="1432" spans="2:4">
      <c r="B1432" s="120"/>
      <c r="C1432" s="121"/>
      <c r="D1432" s="68"/>
    </row>
    <row r="1433" spans="2:4">
      <c r="B1433" s="120"/>
      <c r="C1433" s="121"/>
      <c r="D1433" s="68"/>
    </row>
    <row r="1434" spans="2:4">
      <c r="B1434" s="120"/>
      <c r="C1434" s="121"/>
      <c r="D1434" s="68"/>
    </row>
    <row r="1435" spans="2:4">
      <c r="B1435" s="120"/>
      <c r="C1435" s="121"/>
      <c r="D1435" s="68"/>
    </row>
    <row r="1436" spans="2:4">
      <c r="B1436" s="120"/>
      <c r="C1436" s="121"/>
      <c r="D1436" s="68"/>
    </row>
    <row r="1437" spans="2:4">
      <c r="B1437" s="120"/>
      <c r="C1437" s="121"/>
      <c r="D1437" s="68"/>
    </row>
    <row r="1438" spans="2:4">
      <c r="B1438" s="120"/>
      <c r="C1438" s="121"/>
      <c r="D1438" s="68"/>
    </row>
    <row r="1439" spans="2:4">
      <c r="B1439" s="120"/>
      <c r="C1439" s="121"/>
      <c r="D1439" s="68"/>
    </row>
    <row r="1440" spans="2:4">
      <c r="B1440" s="120"/>
      <c r="C1440" s="121"/>
      <c r="D1440" s="68"/>
    </row>
    <row r="1441" spans="2:4">
      <c r="B1441" s="120"/>
      <c r="C1441" s="121"/>
      <c r="D1441" s="68"/>
    </row>
    <row r="1442" spans="2:4">
      <c r="B1442" s="120"/>
      <c r="C1442" s="121"/>
      <c r="D1442" s="68"/>
    </row>
    <row r="1443" spans="2:4">
      <c r="B1443" s="120"/>
      <c r="C1443" s="121"/>
      <c r="D1443" s="68"/>
    </row>
    <row r="1444" spans="2:4">
      <c r="B1444" s="120"/>
      <c r="C1444" s="121"/>
      <c r="D1444" s="68"/>
    </row>
    <row r="1445" spans="2:4">
      <c r="B1445" s="120"/>
      <c r="C1445" s="121"/>
      <c r="D1445" s="68"/>
    </row>
    <row r="1446" spans="2:4">
      <c r="B1446" s="120"/>
      <c r="C1446" s="121"/>
      <c r="D1446" s="68"/>
    </row>
    <row r="1447" spans="2:4">
      <c r="B1447" s="120"/>
      <c r="C1447" s="121"/>
      <c r="D1447" s="68"/>
    </row>
    <row r="1448" spans="2:4">
      <c r="B1448" s="120"/>
      <c r="C1448" s="121"/>
      <c r="D1448" s="68"/>
    </row>
    <row r="1449" spans="2:4">
      <c r="B1449" s="120"/>
      <c r="C1449" s="121"/>
      <c r="D1449" s="68"/>
    </row>
    <row r="1450" spans="2:4">
      <c r="B1450" s="120"/>
      <c r="C1450" s="121"/>
      <c r="D1450" s="68"/>
    </row>
    <row r="1451" spans="2:4">
      <c r="B1451" s="120"/>
      <c r="C1451" s="121"/>
      <c r="D1451" s="68"/>
    </row>
    <row r="1452" spans="2:4">
      <c r="B1452" s="120"/>
      <c r="C1452" s="121"/>
      <c r="D1452" s="68"/>
    </row>
    <row r="1453" spans="2:4">
      <c r="B1453" s="120"/>
      <c r="C1453" s="121"/>
      <c r="D1453" s="68"/>
    </row>
    <row r="1454" spans="2:4">
      <c r="B1454" s="120"/>
      <c r="C1454" s="121"/>
      <c r="D1454" s="68"/>
    </row>
    <row r="1455" spans="2:4">
      <c r="B1455" s="120"/>
      <c r="C1455" s="121"/>
      <c r="D1455" s="68"/>
    </row>
    <row r="1456" spans="2:4">
      <c r="B1456" s="120"/>
      <c r="C1456" s="121"/>
      <c r="D1456" s="68"/>
    </row>
    <row r="1457" spans="2:4">
      <c r="B1457" s="120"/>
      <c r="C1457" s="121"/>
      <c r="D1457" s="68"/>
    </row>
    <row r="1458" spans="2:4">
      <c r="B1458" s="120"/>
      <c r="C1458" s="121"/>
      <c r="D1458" s="68"/>
    </row>
    <row r="1459" spans="2:4">
      <c r="B1459" s="120"/>
      <c r="C1459" s="121"/>
      <c r="D1459" s="68"/>
    </row>
    <row r="1460" spans="2:4">
      <c r="B1460" s="120"/>
      <c r="C1460" s="121"/>
      <c r="D1460" s="68"/>
    </row>
    <row r="1461" spans="2:4">
      <c r="B1461" s="120"/>
      <c r="C1461" s="121"/>
      <c r="D1461" s="68"/>
    </row>
    <row r="1462" spans="2:4">
      <c r="B1462" s="120"/>
      <c r="C1462" s="121"/>
      <c r="D1462" s="68"/>
    </row>
    <row r="1463" spans="2:4">
      <c r="B1463" s="120"/>
      <c r="C1463" s="121"/>
      <c r="D1463" s="68"/>
    </row>
    <row r="1464" spans="2:4">
      <c r="B1464" s="120"/>
      <c r="C1464" s="121"/>
      <c r="D1464" s="68"/>
    </row>
    <row r="1465" spans="2:4">
      <c r="B1465" s="120"/>
      <c r="C1465" s="121"/>
      <c r="D1465" s="68"/>
    </row>
    <row r="1466" spans="2:4">
      <c r="B1466" s="120"/>
      <c r="C1466" s="121"/>
      <c r="D1466" s="68"/>
    </row>
    <row r="1467" spans="2:4">
      <c r="B1467" s="120"/>
      <c r="C1467" s="121"/>
      <c r="D1467" s="68"/>
    </row>
    <row r="1468" spans="2:4">
      <c r="B1468" s="120"/>
      <c r="C1468" s="121"/>
      <c r="D1468" s="68"/>
    </row>
    <row r="1469" spans="2:4">
      <c r="B1469" s="120"/>
      <c r="C1469" s="121"/>
      <c r="D1469" s="68"/>
    </row>
    <row r="1470" spans="2:4">
      <c r="B1470" s="120"/>
      <c r="C1470" s="121"/>
      <c r="D1470" s="68"/>
    </row>
    <row r="1471" spans="2:4">
      <c r="B1471" s="120"/>
      <c r="C1471" s="121"/>
      <c r="D1471" s="68"/>
    </row>
    <row r="1472" spans="2:4">
      <c r="B1472" s="120"/>
      <c r="C1472" s="121"/>
      <c r="D1472" s="68"/>
    </row>
    <row r="1473" spans="2:4">
      <c r="B1473" s="120"/>
      <c r="C1473" s="121"/>
      <c r="D1473" s="68"/>
    </row>
    <row r="1474" spans="2:4">
      <c r="B1474" s="120"/>
      <c r="C1474" s="121"/>
      <c r="D1474" s="68"/>
    </row>
    <row r="1475" spans="2:4">
      <c r="B1475" s="120"/>
      <c r="C1475" s="121"/>
      <c r="D1475" s="68"/>
    </row>
    <row r="1476" spans="2:4">
      <c r="B1476" s="120"/>
      <c r="C1476" s="121"/>
      <c r="D1476" s="68"/>
    </row>
    <row r="1477" spans="2:4">
      <c r="B1477" s="120"/>
      <c r="C1477" s="121"/>
      <c r="D1477" s="68"/>
    </row>
    <row r="1478" spans="2:4">
      <c r="B1478" s="120"/>
      <c r="C1478" s="121"/>
      <c r="D1478" s="68"/>
    </row>
    <row r="1479" spans="2:4">
      <c r="B1479" s="120"/>
      <c r="C1479" s="121"/>
      <c r="D1479" s="68"/>
    </row>
    <row r="1480" spans="2:4">
      <c r="B1480" s="120"/>
      <c r="C1480" s="121"/>
      <c r="D1480" s="68"/>
    </row>
    <row r="1481" spans="2:4">
      <c r="B1481" s="120"/>
      <c r="C1481" s="121"/>
      <c r="D1481" s="68"/>
    </row>
    <row r="1482" spans="2:4">
      <c r="B1482" s="120"/>
      <c r="C1482" s="121"/>
      <c r="D1482" s="68"/>
    </row>
    <row r="1483" spans="2:4">
      <c r="B1483" s="120"/>
      <c r="C1483" s="121"/>
      <c r="D1483" s="68"/>
    </row>
    <row r="1484" spans="2:4">
      <c r="B1484" s="120"/>
      <c r="C1484" s="121"/>
      <c r="D1484" s="68"/>
    </row>
    <row r="1485" spans="2:4">
      <c r="B1485" s="120"/>
      <c r="C1485" s="121"/>
      <c r="D1485" s="68"/>
    </row>
    <row r="1486" spans="2:4">
      <c r="B1486" s="120"/>
      <c r="C1486" s="121"/>
      <c r="D1486" s="68"/>
    </row>
    <row r="1487" spans="2:4">
      <c r="B1487" s="120"/>
      <c r="C1487" s="121"/>
      <c r="D1487" s="68"/>
    </row>
    <row r="1488" spans="2:4">
      <c r="B1488" s="120"/>
      <c r="C1488" s="121"/>
      <c r="D1488" s="68"/>
    </row>
    <row r="1489" spans="2:4">
      <c r="B1489" s="120"/>
      <c r="C1489" s="121"/>
      <c r="D1489" s="68"/>
    </row>
    <row r="1490" spans="2:4">
      <c r="B1490" s="120"/>
      <c r="C1490" s="121"/>
      <c r="D1490" s="68"/>
    </row>
    <row r="1491" spans="2:4">
      <c r="B1491" s="120"/>
      <c r="C1491" s="121"/>
      <c r="D1491" s="68"/>
    </row>
    <row r="1492" spans="2:4">
      <c r="B1492" s="120"/>
      <c r="C1492" s="121"/>
      <c r="D1492" s="68"/>
    </row>
    <row r="1493" spans="2:4">
      <c r="B1493" s="120"/>
      <c r="C1493" s="121"/>
      <c r="D1493" s="68"/>
    </row>
    <row r="1494" spans="2:4">
      <c r="B1494" s="120"/>
      <c r="C1494" s="121"/>
      <c r="D1494" s="68"/>
    </row>
    <row r="1495" spans="2:4">
      <c r="B1495" s="120"/>
      <c r="C1495" s="121"/>
      <c r="D1495" s="68"/>
    </row>
    <row r="1496" spans="2:4">
      <c r="B1496" s="120"/>
      <c r="C1496" s="121"/>
      <c r="D1496" s="68"/>
    </row>
    <row r="1497" spans="2:4">
      <c r="B1497" s="120"/>
      <c r="C1497" s="121"/>
      <c r="D1497" s="68"/>
    </row>
    <row r="1498" spans="2:4">
      <c r="B1498" s="120"/>
      <c r="C1498" s="121"/>
      <c r="D1498" s="68"/>
    </row>
    <row r="1499" spans="2:4">
      <c r="B1499" s="120"/>
      <c r="C1499" s="121"/>
      <c r="D1499" s="68"/>
    </row>
    <row r="1500" spans="2:4">
      <c r="B1500" s="120"/>
      <c r="C1500" s="121"/>
      <c r="D1500" s="68"/>
    </row>
    <row r="1501" spans="2:4">
      <c r="B1501" s="120"/>
      <c r="C1501" s="121"/>
      <c r="D1501" s="68"/>
    </row>
    <row r="1502" spans="2:4">
      <c r="B1502" s="120"/>
      <c r="C1502" s="121"/>
      <c r="D1502" s="68"/>
    </row>
    <row r="1503" spans="2:4">
      <c r="B1503" s="120"/>
      <c r="C1503" s="121"/>
      <c r="D1503" s="68"/>
    </row>
    <row r="1504" spans="2:4">
      <c r="B1504" s="120"/>
      <c r="C1504" s="121"/>
      <c r="D1504" s="68"/>
    </row>
    <row r="1505" spans="2:4">
      <c r="B1505" s="120"/>
      <c r="C1505" s="121"/>
      <c r="D1505" s="68"/>
    </row>
    <row r="1506" spans="2:4">
      <c r="B1506" s="120"/>
      <c r="C1506" s="121"/>
      <c r="D1506" s="68"/>
    </row>
    <row r="1507" spans="2:4">
      <c r="B1507" s="120"/>
      <c r="C1507" s="121"/>
      <c r="D1507" s="68"/>
    </row>
    <row r="1508" spans="2:4">
      <c r="B1508" s="120"/>
      <c r="C1508" s="121"/>
      <c r="D1508" s="68"/>
    </row>
    <row r="1509" spans="2:4">
      <c r="B1509" s="120"/>
      <c r="C1509" s="121"/>
      <c r="D1509" s="68"/>
    </row>
    <row r="1510" spans="2:4">
      <c r="B1510" s="120"/>
      <c r="C1510" s="121"/>
      <c r="D1510" s="68"/>
    </row>
    <row r="1511" spans="2:4">
      <c r="B1511" s="120"/>
      <c r="C1511" s="121"/>
      <c r="D1511" s="68"/>
    </row>
    <row r="1512" spans="2:4">
      <c r="B1512" s="120"/>
      <c r="C1512" s="121"/>
      <c r="D1512" s="68"/>
    </row>
    <row r="1513" spans="2:4">
      <c r="B1513" s="120"/>
      <c r="C1513" s="121"/>
      <c r="D1513" s="68"/>
    </row>
    <row r="1514" spans="2:4">
      <c r="B1514" s="120"/>
      <c r="C1514" s="121"/>
      <c r="D1514" s="68"/>
    </row>
    <row r="1515" spans="2:4">
      <c r="B1515" s="120"/>
      <c r="C1515" s="121"/>
      <c r="D1515" s="68"/>
    </row>
    <row r="1516" spans="2:4">
      <c r="B1516" s="120"/>
      <c r="C1516" s="121"/>
      <c r="D1516" s="68"/>
    </row>
    <row r="1517" spans="2:4">
      <c r="B1517" s="120"/>
      <c r="C1517" s="121"/>
      <c r="D1517" s="68"/>
    </row>
    <row r="1518" spans="2:4">
      <c r="B1518" s="120"/>
      <c r="C1518" s="121"/>
      <c r="D1518" s="68"/>
    </row>
    <row r="1519" spans="2:4">
      <c r="B1519" s="120"/>
      <c r="C1519" s="121"/>
      <c r="D1519" s="68"/>
    </row>
    <row r="1520" spans="2:4">
      <c r="B1520" s="120"/>
      <c r="C1520" s="121"/>
      <c r="D1520" s="68"/>
    </row>
    <row r="1521" spans="2:4">
      <c r="B1521" s="120"/>
      <c r="C1521" s="121"/>
      <c r="D1521" s="68"/>
    </row>
    <row r="1522" spans="2:4">
      <c r="B1522" s="120"/>
      <c r="C1522" s="121"/>
      <c r="D1522" s="68"/>
    </row>
    <row r="1523" spans="2:4">
      <c r="B1523" s="120"/>
      <c r="C1523" s="121"/>
      <c r="D1523" s="68"/>
    </row>
    <row r="1524" spans="2:4">
      <c r="B1524" s="120"/>
      <c r="C1524" s="121"/>
      <c r="D1524" s="68"/>
    </row>
    <row r="1525" spans="2:4">
      <c r="B1525" s="120"/>
      <c r="C1525" s="121"/>
      <c r="D1525" s="68"/>
    </row>
    <row r="1526" spans="2:4">
      <c r="B1526" s="120"/>
      <c r="C1526" s="121"/>
      <c r="D1526" s="68"/>
    </row>
    <row r="1527" spans="2:4">
      <c r="B1527" s="120"/>
      <c r="C1527" s="121"/>
      <c r="D1527" s="68"/>
    </row>
    <row r="1528" spans="2:4">
      <c r="B1528" s="120"/>
      <c r="C1528" s="121"/>
      <c r="D1528" s="68"/>
    </row>
    <row r="1529" spans="2:4">
      <c r="B1529" s="120"/>
      <c r="C1529" s="121"/>
      <c r="D1529" s="68"/>
    </row>
    <row r="1530" spans="2:4">
      <c r="B1530" s="120"/>
      <c r="C1530" s="121"/>
      <c r="D1530" s="68"/>
    </row>
    <row r="1531" spans="2:4">
      <c r="B1531" s="120"/>
      <c r="C1531" s="121"/>
      <c r="D1531" s="68"/>
    </row>
    <row r="1532" spans="2:4">
      <c r="B1532" s="120"/>
      <c r="C1532" s="121"/>
      <c r="D1532" s="68"/>
    </row>
    <row r="1533" spans="2:4">
      <c r="B1533" s="120"/>
      <c r="C1533" s="121"/>
      <c r="D1533" s="68"/>
    </row>
    <row r="1534" spans="2:4">
      <c r="B1534" s="120"/>
      <c r="C1534" s="121"/>
      <c r="D1534" s="68"/>
    </row>
    <row r="1535" spans="2:4">
      <c r="B1535" s="120"/>
      <c r="C1535" s="121"/>
      <c r="D1535" s="68"/>
    </row>
    <row r="1536" spans="2:4">
      <c r="B1536" s="120"/>
      <c r="C1536" s="121"/>
      <c r="D1536" s="68"/>
    </row>
    <row r="1537" spans="2:4">
      <c r="B1537" s="120"/>
      <c r="C1537" s="121"/>
      <c r="D1537" s="68"/>
    </row>
    <row r="1538" spans="2:4">
      <c r="B1538" s="120"/>
      <c r="C1538" s="121"/>
      <c r="D1538" s="68"/>
    </row>
    <row r="1539" spans="2:4">
      <c r="B1539" s="120"/>
      <c r="C1539" s="121"/>
      <c r="D1539" s="68"/>
    </row>
    <row r="1540" spans="2:4">
      <c r="B1540" s="120"/>
      <c r="C1540" s="121"/>
      <c r="D1540" s="68"/>
    </row>
    <row r="1541" spans="2:4">
      <c r="B1541" s="120"/>
      <c r="C1541" s="121"/>
      <c r="D1541" s="68"/>
    </row>
    <row r="1542" spans="2:4">
      <c r="B1542" s="120"/>
      <c r="C1542" s="121"/>
      <c r="D1542" s="68"/>
    </row>
    <row r="1543" spans="2:4">
      <c r="B1543" s="120"/>
      <c r="C1543" s="121"/>
      <c r="D1543" s="68"/>
    </row>
    <row r="1544" spans="2:4">
      <c r="B1544" s="120"/>
      <c r="C1544" s="121"/>
      <c r="D1544" s="68"/>
    </row>
    <row r="1545" spans="2:4">
      <c r="B1545" s="120"/>
      <c r="C1545" s="121"/>
      <c r="D1545" s="68"/>
    </row>
    <row r="1546" spans="2:4">
      <c r="B1546" s="120"/>
      <c r="C1546" s="121"/>
      <c r="D1546" s="68"/>
    </row>
    <row r="1547" spans="2:4">
      <c r="B1547" s="120"/>
      <c r="C1547" s="121"/>
      <c r="D1547" s="68"/>
    </row>
    <row r="1548" spans="2:4">
      <c r="B1548" s="120"/>
      <c r="C1548" s="121"/>
      <c r="D1548" s="68"/>
    </row>
    <row r="1549" spans="2:4">
      <c r="B1549" s="120"/>
      <c r="C1549" s="121"/>
      <c r="D1549" s="68"/>
    </row>
    <row r="1550" spans="2:4">
      <c r="B1550" s="120"/>
      <c r="C1550" s="121"/>
      <c r="D1550" s="68"/>
    </row>
    <row r="1551" spans="2:4">
      <c r="B1551" s="120"/>
      <c r="C1551" s="121"/>
      <c r="D1551" s="68"/>
    </row>
    <row r="1552" spans="2:4">
      <c r="B1552" s="120"/>
      <c r="C1552" s="121"/>
      <c r="D1552" s="68"/>
    </row>
    <row r="1553" spans="2:4">
      <c r="B1553" s="120"/>
      <c r="C1553" s="121"/>
      <c r="D1553" s="68"/>
    </row>
    <row r="1554" spans="2:4">
      <c r="B1554" s="120"/>
      <c r="C1554" s="121"/>
      <c r="D1554" s="68"/>
    </row>
    <row r="1555" spans="2:4">
      <c r="B1555" s="120"/>
      <c r="C1555" s="121"/>
      <c r="D1555" s="68"/>
    </row>
    <row r="1556" spans="2:4">
      <c r="B1556" s="120"/>
      <c r="C1556" s="121"/>
      <c r="D1556" s="68"/>
    </row>
    <row r="1557" spans="2:4">
      <c r="B1557" s="120"/>
      <c r="C1557" s="121"/>
      <c r="D1557" s="68"/>
    </row>
    <row r="1558" spans="2:4">
      <c r="B1558" s="120"/>
      <c r="C1558" s="121"/>
      <c r="D1558" s="68"/>
    </row>
    <row r="1559" spans="2:4">
      <c r="B1559" s="120"/>
      <c r="C1559" s="121"/>
      <c r="D1559" s="68"/>
    </row>
    <row r="1560" spans="2:4">
      <c r="B1560" s="120"/>
      <c r="C1560" s="121"/>
      <c r="D1560" s="68"/>
    </row>
    <row r="1561" spans="2:4">
      <c r="B1561" s="120"/>
      <c r="C1561" s="121"/>
      <c r="D1561" s="68"/>
    </row>
    <row r="1562" spans="2:4">
      <c r="B1562" s="120"/>
      <c r="C1562" s="121"/>
      <c r="D1562" s="68"/>
    </row>
    <row r="1563" spans="2:4">
      <c r="B1563" s="120"/>
      <c r="C1563" s="121"/>
      <c r="D1563" s="68"/>
    </row>
    <row r="1564" spans="2:4">
      <c r="B1564" s="120"/>
      <c r="C1564" s="121"/>
      <c r="D1564" s="68"/>
    </row>
    <row r="1565" spans="2:4">
      <c r="B1565" s="120"/>
      <c r="C1565" s="121"/>
      <c r="D1565" s="68"/>
    </row>
    <row r="1566" spans="2:4">
      <c r="B1566" s="120"/>
      <c r="C1566" s="121"/>
      <c r="D1566" s="68"/>
    </row>
    <row r="1567" spans="2:4">
      <c r="B1567" s="120"/>
      <c r="C1567" s="121"/>
      <c r="D1567" s="68"/>
    </row>
    <row r="1568" spans="2:4">
      <c r="B1568" s="120"/>
      <c r="C1568" s="121"/>
      <c r="D1568" s="68"/>
    </row>
    <row r="1569" spans="2:4">
      <c r="B1569" s="120"/>
      <c r="C1569" s="121"/>
      <c r="D1569" s="68"/>
    </row>
    <row r="1570" spans="2:4">
      <c r="B1570" s="120"/>
      <c r="C1570" s="121"/>
      <c r="D1570" s="68"/>
    </row>
    <row r="1571" spans="2:4">
      <c r="B1571" s="120"/>
      <c r="C1571" s="121"/>
      <c r="D1571" s="68"/>
    </row>
    <row r="1572" spans="2:4">
      <c r="B1572" s="120"/>
      <c r="C1572" s="121"/>
      <c r="D1572" s="68"/>
    </row>
    <row r="1573" spans="2:4">
      <c r="B1573" s="120"/>
      <c r="C1573" s="121"/>
      <c r="D1573" s="68"/>
    </row>
    <row r="1574" spans="2:4">
      <c r="B1574" s="120"/>
      <c r="C1574" s="121"/>
      <c r="D1574" s="68"/>
    </row>
    <row r="1575" spans="2:4">
      <c r="B1575" s="120"/>
      <c r="C1575" s="121"/>
      <c r="D1575" s="68"/>
    </row>
    <row r="1576" spans="2:4">
      <c r="B1576" s="120"/>
      <c r="C1576" s="121"/>
      <c r="D1576" s="68"/>
    </row>
    <row r="1577" spans="2:4">
      <c r="B1577" s="120"/>
      <c r="C1577" s="121"/>
      <c r="D1577" s="68"/>
    </row>
    <row r="1578" spans="2:4">
      <c r="B1578" s="120"/>
      <c r="C1578" s="121"/>
      <c r="D1578" s="68"/>
    </row>
    <row r="1579" spans="2:4">
      <c r="B1579" s="120"/>
      <c r="C1579" s="121"/>
      <c r="D1579" s="68"/>
    </row>
    <row r="1580" spans="2:4">
      <c r="B1580" s="120"/>
      <c r="C1580" s="121"/>
      <c r="D1580" s="68"/>
    </row>
    <row r="1581" spans="2:4">
      <c r="B1581" s="120"/>
      <c r="C1581" s="121"/>
      <c r="D1581" s="68"/>
    </row>
    <row r="1582" spans="2:4">
      <c r="B1582" s="120"/>
      <c r="C1582" s="121"/>
      <c r="D1582" s="68"/>
    </row>
    <row r="1583" spans="2:4">
      <c r="B1583" s="120"/>
      <c r="C1583" s="121"/>
      <c r="D1583" s="68"/>
    </row>
    <row r="1584" spans="2:4">
      <c r="B1584" s="120"/>
      <c r="C1584" s="121"/>
      <c r="D1584" s="68"/>
    </row>
    <row r="1585" spans="2:4">
      <c r="B1585" s="120"/>
      <c r="C1585" s="121"/>
      <c r="D1585" s="68"/>
    </row>
    <row r="1586" spans="2:4">
      <c r="B1586" s="120"/>
      <c r="C1586" s="121"/>
      <c r="D1586" s="68"/>
    </row>
    <row r="1587" spans="2:4">
      <c r="B1587" s="120"/>
      <c r="C1587" s="121"/>
      <c r="D1587" s="68"/>
    </row>
    <row r="1588" spans="2:4">
      <c r="B1588" s="120"/>
      <c r="C1588" s="121"/>
      <c r="D1588" s="68"/>
    </row>
    <row r="1589" spans="2:4">
      <c r="B1589" s="120"/>
      <c r="C1589" s="121"/>
      <c r="D1589" s="68"/>
    </row>
    <row r="1590" spans="2:4">
      <c r="B1590" s="120"/>
      <c r="C1590" s="121"/>
      <c r="D1590" s="68"/>
    </row>
    <row r="1591" spans="2:4">
      <c r="B1591" s="120"/>
      <c r="C1591" s="121"/>
      <c r="D1591" s="68"/>
    </row>
    <row r="1592" spans="2:4">
      <c r="B1592" s="120"/>
      <c r="C1592" s="121"/>
      <c r="D1592" s="68"/>
    </row>
    <row r="1593" spans="2:4">
      <c r="B1593" s="120"/>
      <c r="C1593" s="121"/>
      <c r="D1593" s="68"/>
    </row>
    <row r="1594" spans="2:4">
      <c r="B1594" s="120"/>
      <c r="C1594" s="121"/>
      <c r="D1594" s="68"/>
    </row>
    <row r="1595" spans="2:4">
      <c r="B1595" s="120"/>
      <c r="C1595" s="121"/>
      <c r="D1595" s="68"/>
    </row>
    <row r="1596" spans="2:4">
      <c r="B1596" s="120"/>
      <c r="C1596" s="121"/>
      <c r="D1596" s="68"/>
    </row>
    <row r="1597" spans="2:4">
      <c r="B1597" s="120"/>
      <c r="C1597" s="121"/>
      <c r="D1597" s="68"/>
    </row>
    <row r="1598" spans="2:4">
      <c r="B1598" s="120"/>
      <c r="C1598" s="121"/>
      <c r="D1598" s="68"/>
    </row>
    <row r="1599" spans="2:4">
      <c r="B1599" s="120"/>
      <c r="C1599" s="121"/>
      <c r="D1599" s="68"/>
    </row>
    <row r="1600" spans="2:4">
      <c r="B1600" s="120"/>
      <c r="C1600" s="121"/>
      <c r="D1600" s="68"/>
    </row>
    <row r="1601" spans="2:4">
      <c r="B1601" s="120"/>
      <c r="C1601" s="121"/>
      <c r="D1601" s="68"/>
    </row>
    <row r="1602" spans="2:4">
      <c r="B1602" s="120"/>
      <c r="C1602" s="121"/>
      <c r="D1602" s="68"/>
    </row>
    <row r="1603" spans="2:4">
      <c r="B1603" s="120"/>
      <c r="C1603" s="121"/>
      <c r="D1603" s="68"/>
    </row>
    <row r="1604" spans="2:4">
      <c r="B1604" s="120"/>
      <c r="C1604" s="121"/>
      <c r="D1604" s="68"/>
    </row>
    <row r="1605" spans="2:4">
      <c r="B1605" s="120"/>
      <c r="C1605" s="121"/>
      <c r="D1605" s="68"/>
    </row>
    <row r="1606" spans="2:4">
      <c r="B1606" s="120"/>
      <c r="C1606" s="121"/>
      <c r="D1606" s="68"/>
    </row>
    <row r="1607" spans="2:4">
      <c r="B1607" s="120"/>
      <c r="C1607" s="121"/>
      <c r="D1607" s="68"/>
    </row>
    <row r="1608" spans="2:4">
      <c r="B1608" s="120"/>
      <c r="C1608" s="121"/>
      <c r="D1608" s="68"/>
    </row>
    <row r="1609" spans="2:4">
      <c r="B1609" s="120"/>
      <c r="C1609" s="121"/>
      <c r="D1609" s="68"/>
    </row>
    <row r="1610" spans="2:4">
      <c r="B1610" s="120"/>
      <c r="C1610" s="121"/>
      <c r="D1610" s="68"/>
    </row>
    <row r="1611" spans="2:4">
      <c r="B1611" s="120"/>
      <c r="C1611" s="121"/>
      <c r="D1611" s="68"/>
    </row>
    <row r="1612" spans="2:4">
      <c r="B1612" s="120"/>
      <c r="C1612" s="121"/>
      <c r="D1612" s="68"/>
    </row>
    <row r="1613" spans="2:4">
      <c r="B1613" s="120"/>
      <c r="C1613" s="121"/>
      <c r="D1613" s="68"/>
    </row>
    <row r="1614" spans="2:4">
      <c r="B1614" s="120"/>
      <c r="C1614" s="121"/>
      <c r="D1614" s="68"/>
    </row>
    <row r="1615" spans="2:4">
      <c r="B1615" s="120"/>
      <c r="C1615" s="121"/>
      <c r="D1615" s="68"/>
    </row>
    <row r="1616" spans="2:4">
      <c r="B1616" s="120"/>
      <c r="C1616" s="121"/>
      <c r="D1616" s="68"/>
    </row>
    <row r="1617" spans="2:4">
      <c r="B1617" s="120"/>
      <c r="C1617" s="121"/>
      <c r="D1617" s="68"/>
    </row>
    <row r="1618" spans="2:4">
      <c r="B1618" s="120"/>
      <c r="C1618" s="121"/>
      <c r="D1618" s="68"/>
    </row>
    <row r="1619" spans="2:4">
      <c r="B1619" s="120"/>
      <c r="C1619" s="121"/>
      <c r="D1619" s="68"/>
    </row>
    <row r="1620" spans="2:4">
      <c r="B1620" s="120"/>
      <c r="C1620" s="121"/>
      <c r="D1620" s="68"/>
    </row>
    <row r="1621" spans="2:4">
      <c r="B1621" s="120"/>
      <c r="C1621" s="121"/>
      <c r="D1621" s="68"/>
    </row>
    <row r="1622" spans="2:4">
      <c r="B1622" s="120"/>
      <c r="C1622" s="121"/>
      <c r="D1622" s="68"/>
    </row>
    <row r="1623" spans="2:4">
      <c r="B1623" s="120"/>
      <c r="C1623" s="121"/>
      <c r="D1623" s="68"/>
    </row>
    <row r="1624" spans="2:4">
      <c r="B1624" s="120"/>
      <c r="C1624" s="121"/>
      <c r="D1624" s="68"/>
    </row>
    <row r="1625" spans="2:4">
      <c r="B1625" s="120"/>
      <c r="C1625" s="121"/>
      <c r="D1625" s="68"/>
    </row>
    <row r="1626" spans="2:4">
      <c r="B1626" s="120"/>
      <c r="C1626" s="121"/>
      <c r="D1626" s="68"/>
    </row>
    <row r="1627" spans="2:4">
      <c r="B1627" s="120"/>
      <c r="C1627" s="121"/>
      <c r="D1627" s="68"/>
    </row>
    <row r="1628" spans="2:4">
      <c r="B1628" s="120"/>
      <c r="C1628" s="121"/>
      <c r="D1628" s="68"/>
    </row>
    <row r="1629" spans="2:4">
      <c r="B1629" s="120"/>
      <c r="C1629" s="121"/>
      <c r="D1629" s="68"/>
    </row>
    <row r="1630" spans="2:4">
      <c r="B1630" s="120"/>
      <c r="C1630" s="121"/>
      <c r="D1630" s="68"/>
    </row>
    <row r="1631" spans="2:4">
      <c r="B1631" s="120"/>
      <c r="C1631" s="121"/>
      <c r="D1631" s="68"/>
    </row>
    <row r="1632" spans="2:4">
      <c r="B1632" s="120"/>
      <c r="C1632" s="121"/>
      <c r="D1632" s="68"/>
    </row>
    <row r="1633" spans="2:4">
      <c r="B1633" s="120"/>
      <c r="C1633" s="121"/>
      <c r="D1633" s="68"/>
    </row>
    <row r="1634" spans="2:4">
      <c r="B1634" s="120"/>
      <c r="C1634" s="121"/>
      <c r="D1634" s="68"/>
    </row>
    <row r="1635" spans="2:4">
      <c r="B1635" s="120"/>
      <c r="C1635" s="121"/>
      <c r="D1635" s="68"/>
    </row>
    <row r="1636" spans="2:4">
      <c r="B1636" s="120"/>
      <c r="C1636" s="121"/>
      <c r="D1636" s="68"/>
    </row>
    <row r="1637" spans="2:4">
      <c r="B1637" s="120"/>
      <c r="C1637" s="121"/>
      <c r="D1637" s="68"/>
    </row>
    <row r="1638" spans="2:4">
      <c r="B1638" s="120"/>
      <c r="C1638" s="121"/>
      <c r="D1638" s="68"/>
    </row>
    <row r="1639" spans="2:4">
      <c r="B1639" s="120"/>
      <c r="C1639" s="121"/>
      <c r="D1639" s="68"/>
    </row>
    <row r="1640" spans="2:4">
      <c r="B1640" s="120"/>
      <c r="C1640" s="121"/>
      <c r="D1640" s="68"/>
    </row>
    <row r="1641" spans="2:4">
      <c r="B1641" s="120"/>
      <c r="C1641" s="121"/>
      <c r="D1641" s="68"/>
    </row>
    <row r="1642" spans="2:4">
      <c r="B1642" s="120"/>
      <c r="C1642" s="121"/>
      <c r="D1642" s="68"/>
    </row>
    <row r="1643" spans="2:4">
      <c r="B1643" s="120"/>
      <c r="C1643" s="121"/>
      <c r="D1643" s="68"/>
    </row>
    <row r="1644" spans="2:4">
      <c r="B1644" s="120"/>
      <c r="C1644" s="121"/>
      <c r="D1644" s="68"/>
    </row>
    <row r="1645" spans="2:4">
      <c r="B1645" s="120"/>
      <c r="C1645" s="121"/>
      <c r="D1645" s="68"/>
    </row>
    <row r="1646" spans="2:4">
      <c r="B1646" s="120"/>
      <c r="C1646" s="121"/>
      <c r="D1646" s="68"/>
    </row>
    <row r="1647" spans="2:4">
      <c r="B1647" s="120"/>
      <c r="C1647" s="121"/>
      <c r="D1647" s="68"/>
    </row>
    <row r="1648" spans="2:4">
      <c r="B1648" s="120"/>
      <c r="C1648" s="121"/>
      <c r="D1648" s="68"/>
    </row>
    <row r="1649" spans="2:4">
      <c r="B1649" s="120"/>
      <c r="C1649" s="121"/>
      <c r="D1649" s="68"/>
    </row>
    <row r="1650" spans="2:4">
      <c r="B1650" s="120"/>
      <c r="C1650" s="121"/>
      <c r="D1650" s="68"/>
    </row>
    <row r="1651" spans="2:4">
      <c r="B1651" s="120"/>
      <c r="C1651" s="121"/>
      <c r="D1651" s="68"/>
    </row>
    <row r="1652" spans="2:4">
      <c r="B1652" s="120"/>
      <c r="C1652" s="121"/>
      <c r="D1652" s="68"/>
    </row>
    <row r="1653" spans="2:4">
      <c r="B1653" s="120"/>
      <c r="C1653" s="121"/>
      <c r="D1653" s="68"/>
    </row>
    <row r="1654" spans="2:4">
      <c r="B1654" s="120"/>
      <c r="C1654" s="121"/>
      <c r="D1654" s="68"/>
    </row>
    <row r="1655" spans="2:4">
      <c r="B1655" s="120"/>
      <c r="C1655" s="121"/>
      <c r="D1655" s="68"/>
    </row>
    <row r="1656" spans="2:4">
      <c r="B1656" s="120"/>
      <c r="C1656" s="121"/>
      <c r="D1656" s="68"/>
    </row>
    <row r="1657" spans="2:4">
      <c r="B1657" s="120"/>
      <c r="C1657" s="121"/>
      <c r="D1657" s="68"/>
    </row>
    <row r="1658" spans="2:4">
      <c r="B1658" s="120"/>
      <c r="C1658" s="121"/>
      <c r="D1658" s="68"/>
    </row>
    <row r="1659" spans="2:4">
      <c r="B1659" s="120"/>
      <c r="C1659" s="121"/>
      <c r="D1659" s="68"/>
    </row>
    <row r="1660" spans="2:4">
      <c r="B1660" s="120"/>
      <c r="C1660" s="121"/>
      <c r="D1660" s="68"/>
    </row>
    <row r="1661" spans="2:4">
      <c r="B1661" s="120"/>
      <c r="C1661" s="121"/>
      <c r="D1661" s="68"/>
    </row>
    <row r="1662" spans="2:4">
      <c r="B1662" s="120"/>
      <c r="C1662" s="121"/>
      <c r="D1662" s="68"/>
    </row>
    <row r="1663" spans="2:4">
      <c r="B1663" s="120"/>
      <c r="C1663" s="121"/>
      <c r="D1663" s="68"/>
    </row>
    <row r="1664" spans="2:4">
      <c r="B1664" s="120"/>
      <c r="C1664" s="121"/>
      <c r="D1664" s="68"/>
    </row>
    <row r="1665" spans="2:4">
      <c r="B1665" s="120"/>
      <c r="C1665" s="121"/>
      <c r="D1665" s="68"/>
    </row>
    <row r="1666" spans="2:4">
      <c r="B1666" s="120"/>
      <c r="C1666" s="121"/>
      <c r="D1666" s="68"/>
    </row>
    <row r="1667" spans="2:4">
      <c r="B1667" s="120"/>
      <c r="C1667" s="121"/>
      <c r="D1667" s="68"/>
    </row>
    <row r="1668" spans="2:4">
      <c r="B1668" s="120"/>
      <c r="C1668" s="121"/>
      <c r="D1668" s="68"/>
    </row>
    <row r="1669" spans="2:4">
      <c r="B1669" s="120"/>
      <c r="C1669" s="121"/>
      <c r="D1669" s="68"/>
    </row>
    <row r="1670" spans="2:4">
      <c r="B1670" s="120"/>
      <c r="C1670" s="121"/>
      <c r="D1670" s="68"/>
    </row>
    <row r="1671" spans="2:4">
      <c r="B1671" s="120"/>
      <c r="C1671" s="121"/>
      <c r="D1671" s="68"/>
    </row>
    <row r="1672" spans="2:4">
      <c r="B1672" s="120"/>
      <c r="C1672" s="121"/>
      <c r="D1672" s="68"/>
    </row>
    <row r="1673" spans="2:4">
      <c r="B1673" s="120"/>
      <c r="C1673" s="121"/>
      <c r="D1673" s="68"/>
    </row>
    <row r="1674" spans="2:4">
      <c r="B1674" s="120"/>
      <c r="C1674" s="121"/>
      <c r="D1674" s="68"/>
    </row>
    <row r="1675" spans="2:4">
      <c r="B1675" s="120"/>
      <c r="C1675" s="121"/>
      <c r="D1675" s="68"/>
    </row>
    <row r="1676" spans="2:4">
      <c r="B1676" s="120"/>
      <c r="C1676" s="121"/>
      <c r="D1676" s="68"/>
    </row>
    <row r="1677" spans="2:4">
      <c r="B1677" s="120"/>
      <c r="C1677" s="121"/>
      <c r="D1677" s="68"/>
    </row>
    <row r="1678" spans="2:4">
      <c r="B1678" s="120"/>
      <c r="C1678" s="121"/>
      <c r="D1678" s="68"/>
    </row>
    <row r="1679" spans="2:4">
      <c r="B1679" s="120"/>
      <c r="C1679" s="121"/>
      <c r="D1679" s="68"/>
    </row>
    <row r="1680" spans="2:4">
      <c r="B1680" s="120"/>
      <c r="C1680" s="121"/>
      <c r="D1680" s="68"/>
    </row>
    <row r="1681" spans="2:4">
      <c r="B1681" s="120"/>
      <c r="C1681" s="121"/>
      <c r="D1681" s="68"/>
    </row>
    <row r="1682" spans="2:4">
      <c r="B1682" s="120"/>
      <c r="C1682" s="121"/>
      <c r="D1682" s="68"/>
    </row>
    <row r="1683" spans="2:4">
      <c r="B1683" s="120"/>
      <c r="C1683" s="121"/>
      <c r="D1683" s="68"/>
    </row>
    <row r="1684" spans="2:4">
      <c r="B1684" s="120"/>
      <c r="C1684" s="121"/>
      <c r="D1684" s="68"/>
    </row>
    <row r="1685" spans="2:4">
      <c r="B1685" s="120"/>
      <c r="C1685" s="121"/>
      <c r="D1685" s="68"/>
    </row>
    <row r="1686" spans="2:4">
      <c r="B1686" s="120"/>
      <c r="C1686" s="121"/>
      <c r="D1686" s="68"/>
    </row>
    <row r="1687" spans="2:4">
      <c r="B1687" s="120"/>
      <c r="C1687" s="121"/>
      <c r="D1687" s="68"/>
    </row>
    <row r="1688" spans="2:4">
      <c r="B1688" s="120"/>
      <c r="C1688" s="121"/>
      <c r="D1688" s="68"/>
    </row>
    <row r="1689" spans="2:4">
      <c r="B1689" s="120"/>
      <c r="C1689" s="121"/>
      <c r="D1689" s="68"/>
    </row>
    <row r="1690" spans="2:4">
      <c r="B1690" s="120"/>
      <c r="C1690" s="121"/>
      <c r="D1690" s="68"/>
    </row>
    <row r="1691" spans="2:4">
      <c r="B1691" s="120"/>
      <c r="C1691" s="121"/>
      <c r="D1691" s="68"/>
    </row>
    <row r="1692" spans="2:4">
      <c r="B1692" s="120"/>
      <c r="C1692" s="121"/>
      <c r="D1692" s="68"/>
    </row>
    <row r="1693" spans="2:4">
      <c r="B1693" s="120"/>
      <c r="C1693" s="121"/>
      <c r="D1693" s="68"/>
    </row>
    <row r="1694" spans="2:4">
      <c r="B1694" s="120"/>
      <c r="C1694" s="121"/>
      <c r="D1694" s="68"/>
    </row>
    <row r="1695" spans="2:4">
      <c r="B1695" s="120"/>
      <c r="C1695" s="121"/>
      <c r="D1695" s="68"/>
    </row>
    <row r="1696" spans="2:4">
      <c r="B1696" s="120"/>
      <c r="C1696" s="121"/>
      <c r="D1696" s="68"/>
    </row>
    <row r="1697" spans="2:4">
      <c r="B1697" s="120"/>
      <c r="C1697" s="121"/>
      <c r="D1697" s="68"/>
    </row>
    <row r="1698" spans="2:4">
      <c r="B1698" s="120"/>
      <c r="C1698" s="121"/>
      <c r="D1698" s="68"/>
    </row>
    <row r="1699" spans="2:4">
      <c r="B1699" s="120"/>
      <c r="C1699" s="121"/>
      <c r="D1699" s="68"/>
    </row>
    <row r="1700" spans="2:4">
      <c r="B1700" s="120"/>
      <c r="C1700" s="121"/>
      <c r="D1700" s="68"/>
    </row>
    <row r="1701" spans="2:4">
      <c r="B1701" s="120"/>
      <c r="C1701" s="121"/>
      <c r="D1701" s="68"/>
    </row>
    <row r="1702" spans="2:4">
      <c r="B1702" s="120"/>
      <c r="C1702" s="121"/>
      <c r="D1702" s="68"/>
    </row>
    <row r="1703" spans="2:4">
      <c r="B1703" s="120"/>
      <c r="C1703" s="121"/>
      <c r="D1703" s="68"/>
    </row>
    <row r="1704" spans="2:4">
      <c r="B1704" s="120"/>
      <c r="C1704" s="121"/>
      <c r="D1704" s="68"/>
    </row>
    <row r="1705" spans="2:4">
      <c r="B1705" s="120"/>
      <c r="C1705" s="121"/>
      <c r="D1705" s="68"/>
    </row>
    <row r="1706" spans="2:4">
      <c r="B1706" s="120"/>
      <c r="C1706" s="121"/>
      <c r="D1706" s="68"/>
    </row>
    <row r="1707" spans="2:4">
      <c r="B1707" s="120"/>
      <c r="C1707" s="121"/>
      <c r="D1707" s="68"/>
    </row>
    <row r="1708" spans="2:4">
      <c r="B1708" s="120"/>
      <c r="C1708" s="121"/>
      <c r="D1708" s="68"/>
    </row>
    <row r="1709" spans="2:4">
      <c r="B1709" s="120"/>
      <c r="C1709" s="121"/>
      <c r="D1709" s="68"/>
    </row>
    <row r="1710" spans="2:4">
      <c r="B1710" s="120"/>
      <c r="C1710" s="121"/>
      <c r="D1710" s="68"/>
    </row>
    <row r="1711" spans="2:4">
      <c r="B1711" s="120"/>
      <c r="C1711" s="121"/>
      <c r="D1711" s="68"/>
    </row>
    <row r="1712" spans="2:4">
      <c r="B1712" s="120"/>
      <c r="C1712" s="121"/>
      <c r="D1712" s="68"/>
    </row>
    <row r="1713" spans="2:4">
      <c r="B1713" s="120"/>
      <c r="C1713" s="121"/>
      <c r="D1713" s="68"/>
    </row>
    <row r="1714" spans="2:4">
      <c r="B1714" s="120"/>
      <c r="C1714" s="121"/>
      <c r="D1714" s="68"/>
    </row>
    <row r="1715" spans="2:4">
      <c r="B1715" s="120"/>
      <c r="C1715" s="121"/>
      <c r="D1715" s="68"/>
    </row>
    <row r="1716" spans="2:4">
      <c r="B1716" s="120"/>
      <c r="C1716" s="121"/>
      <c r="D1716" s="68"/>
    </row>
    <row r="1717" spans="2:4">
      <c r="B1717" s="120"/>
      <c r="C1717" s="121"/>
      <c r="D1717" s="68"/>
    </row>
    <row r="1718" spans="2:4">
      <c r="B1718" s="120"/>
      <c r="C1718" s="121"/>
      <c r="D1718" s="68"/>
    </row>
    <row r="1719" spans="2:4">
      <c r="B1719" s="120"/>
      <c r="C1719" s="121"/>
      <c r="D1719" s="68"/>
    </row>
    <row r="1720" spans="2:4">
      <c r="B1720" s="120"/>
      <c r="C1720" s="121"/>
      <c r="D1720" s="68"/>
    </row>
    <row r="1721" spans="2:4">
      <c r="B1721" s="120"/>
      <c r="C1721" s="121"/>
      <c r="D1721" s="68"/>
    </row>
    <row r="1722" spans="2:4">
      <c r="B1722" s="120"/>
      <c r="C1722" s="121"/>
      <c r="D1722" s="68"/>
    </row>
    <row r="1723" spans="2:4">
      <c r="B1723" s="120"/>
      <c r="C1723" s="121"/>
      <c r="D1723" s="68"/>
    </row>
    <row r="1724" spans="2:4">
      <c r="B1724" s="120"/>
      <c r="C1724" s="121"/>
      <c r="D1724" s="68"/>
    </row>
    <row r="1725" spans="2:4">
      <c r="B1725" s="120"/>
      <c r="C1725" s="121"/>
      <c r="D1725" s="68"/>
    </row>
    <row r="1726" spans="2:4">
      <c r="B1726" s="120"/>
      <c r="C1726" s="121"/>
      <c r="D1726" s="68"/>
    </row>
    <row r="1727" spans="2:4">
      <c r="B1727" s="120"/>
      <c r="C1727" s="121"/>
      <c r="D1727" s="68"/>
    </row>
    <row r="1728" spans="2:4">
      <c r="B1728" s="120"/>
      <c r="C1728" s="121"/>
      <c r="D1728" s="68"/>
    </row>
    <row r="1729" spans="2:4">
      <c r="B1729" s="120"/>
      <c r="C1729" s="121"/>
      <c r="D1729" s="68"/>
    </row>
    <row r="1730" spans="2:4">
      <c r="B1730" s="120"/>
      <c r="C1730" s="121"/>
      <c r="D1730" s="68"/>
    </row>
    <row r="1731" spans="2:4">
      <c r="B1731" s="120"/>
      <c r="C1731" s="121"/>
      <c r="D1731" s="68"/>
    </row>
    <row r="1732" spans="2:4">
      <c r="B1732" s="120"/>
      <c r="C1732" s="121"/>
      <c r="D1732" s="68"/>
    </row>
    <row r="1733" spans="2:4">
      <c r="B1733" s="120"/>
      <c r="C1733" s="121"/>
      <c r="D1733" s="68"/>
    </row>
    <row r="1734" spans="2:4">
      <c r="B1734" s="120"/>
      <c r="C1734" s="121"/>
      <c r="D1734" s="68"/>
    </row>
    <row r="1735" spans="2:4">
      <c r="B1735" s="120"/>
      <c r="C1735" s="121"/>
      <c r="D1735" s="68"/>
    </row>
    <row r="1736" spans="2:4">
      <c r="B1736" s="120"/>
      <c r="C1736" s="121"/>
      <c r="D1736" s="68"/>
    </row>
    <row r="1737" spans="2:4">
      <c r="B1737" s="120"/>
      <c r="C1737" s="121"/>
      <c r="D1737" s="68"/>
    </row>
    <row r="1738" spans="2:4">
      <c r="B1738" s="120"/>
      <c r="C1738" s="121"/>
      <c r="D1738" s="68"/>
    </row>
    <row r="1739" spans="2:4">
      <c r="B1739" s="120"/>
      <c r="C1739" s="121"/>
      <c r="D1739" s="68"/>
    </row>
    <row r="1740" spans="2:4">
      <c r="B1740" s="120"/>
      <c r="C1740" s="121"/>
      <c r="D1740" s="68"/>
    </row>
    <row r="1741" spans="2:4">
      <c r="B1741" s="120"/>
      <c r="C1741" s="121"/>
      <c r="D1741" s="68"/>
    </row>
    <row r="1742" spans="2:4">
      <c r="B1742" s="120"/>
      <c r="C1742" s="121"/>
      <c r="D1742" s="68"/>
    </row>
    <row r="1743" spans="2:4">
      <c r="B1743" s="120"/>
      <c r="C1743" s="121"/>
      <c r="D1743" s="68"/>
    </row>
    <row r="1744" spans="2:4">
      <c r="B1744" s="120"/>
      <c r="C1744" s="121"/>
      <c r="D1744" s="68"/>
    </row>
    <row r="1745" spans="2:4">
      <c r="B1745" s="120"/>
      <c r="C1745" s="121"/>
      <c r="D1745" s="68"/>
    </row>
    <row r="1746" spans="2:4">
      <c r="B1746" s="120"/>
      <c r="C1746" s="121"/>
      <c r="D1746" s="68"/>
    </row>
    <row r="1747" spans="2:4">
      <c r="B1747" s="120"/>
      <c r="C1747" s="121"/>
      <c r="D1747" s="68"/>
    </row>
    <row r="1748" spans="2:4">
      <c r="B1748" s="120"/>
      <c r="C1748" s="121"/>
      <c r="D1748" s="68"/>
    </row>
    <row r="1749" spans="2:4">
      <c r="B1749" s="120"/>
      <c r="C1749" s="121"/>
      <c r="D1749" s="68"/>
    </row>
    <row r="1750" spans="2:4">
      <c r="B1750" s="120"/>
      <c r="C1750" s="121"/>
      <c r="D1750" s="68"/>
    </row>
    <row r="1751" spans="2:4">
      <c r="B1751" s="120"/>
      <c r="C1751" s="121"/>
      <c r="D1751" s="68"/>
    </row>
    <row r="1752" spans="2:4">
      <c r="B1752" s="120"/>
      <c r="C1752" s="121"/>
      <c r="D1752" s="68"/>
    </row>
    <row r="1753" spans="2:4">
      <c r="B1753" s="120"/>
      <c r="C1753" s="121"/>
      <c r="D1753" s="68"/>
    </row>
    <row r="1754" spans="2:4">
      <c r="B1754" s="120"/>
      <c r="C1754" s="121"/>
      <c r="D1754" s="68"/>
    </row>
    <row r="1755" spans="2:4">
      <c r="B1755" s="120"/>
      <c r="C1755" s="121"/>
      <c r="D1755" s="68"/>
    </row>
    <row r="1756" spans="2:4">
      <c r="B1756" s="120"/>
      <c r="C1756" s="121"/>
      <c r="D1756" s="68"/>
    </row>
    <row r="1757" spans="2:4">
      <c r="B1757" s="120"/>
      <c r="C1757" s="121"/>
      <c r="D1757" s="68"/>
    </row>
    <row r="1758" spans="2:4">
      <c r="B1758" s="120"/>
      <c r="C1758" s="121"/>
      <c r="D1758" s="68"/>
    </row>
    <row r="1759" spans="2:4">
      <c r="B1759" s="120"/>
      <c r="C1759" s="121"/>
      <c r="D1759" s="68"/>
    </row>
    <row r="1760" spans="2:4">
      <c r="B1760" s="120"/>
      <c r="C1760" s="121"/>
      <c r="D1760" s="68"/>
    </row>
    <row r="1761" spans="2:4">
      <c r="B1761" s="120"/>
      <c r="C1761" s="121"/>
      <c r="D1761" s="68"/>
    </row>
    <row r="1762" spans="2:4">
      <c r="B1762" s="120"/>
      <c r="C1762" s="121"/>
      <c r="D1762" s="68"/>
    </row>
    <row r="1763" spans="2:4">
      <c r="B1763" s="120"/>
      <c r="C1763" s="121"/>
      <c r="D1763" s="68"/>
    </row>
    <row r="1764" spans="2:4">
      <c r="B1764" s="120"/>
      <c r="C1764" s="121"/>
      <c r="D1764" s="68"/>
    </row>
    <row r="1765" spans="2:4">
      <c r="B1765" s="120"/>
      <c r="C1765" s="121"/>
      <c r="D1765" s="68"/>
    </row>
    <row r="1766" spans="2:4">
      <c r="B1766" s="120"/>
      <c r="C1766" s="121"/>
      <c r="D1766" s="68"/>
    </row>
    <row r="1767" spans="2:4">
      <c r="B1767" s="120"/>
      <c r="C1767" s="121"/>
      <c r="D1767" s="68"/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EBA2-0717-49FE-96CB-AD02D67D4288}">
  <sheetPr codeName="Sheet24">
    <tabColor rgb="FF00B0F0"/>
  </sheetPr>
  <dimension ref="B2:U2269"/>
  <sheetViews>
    <sheetView tabSelected="1" zoomScale="90" zoomScaleNormal="90" workbookViewId="0">
      <selection activeCell="E3" sqref="E3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20</v>
      </c>
      <c r="C2" s="30" t="s">
        <v>83</v>
      </c>
      <c r="D2" s="119" t="s">
        <v>84</v>
      </c>
      <c r="E2" s="119" t="s">
        <v>85</v>
      </c>
      <c r="F2" s="119" t="s">
        <v>86</v>
      </c>
      <c r="G2" s="119" t="s">
        <v>87</v>
      </c>
      <c r="H2" s="119" t="s">
        <v>88</v>
      </c>
      <c r="I2" s="119" t="s">
        <v>89</v>
      </c>
      <c r="J2" s="30"/>
      <c r="K2" s="30" t="s">
        <v>90</v>
      </c>
      <c r="L2" s="30"/>
    </row>
    <row r="3" spans="2:21">
      <c r="B3" s="30">
        <v>1</v>
      </c>
      <c r="C3" s="122" cm="1">
        <f t="array" ref="C3">SwapRate(0.25,B3,0.25)</f>
        <v>1.9453152011136062E-2</v>
      </c>
      <c r="D3" s="123">
        <v>79.150000000000006</v>
      </c>
      <c r="E3" s="124">
        <f>IF($E$14="No",0,BlackVolCalc(G3, B3/0.25, C3, D3))</f>
        <v>82.44939053125448</v>
      </c>
      <c r="F3" s="125">
        <f>MktCap(B3/0.25,C3,D3/100)</f>
        <v>7.7399479321127035E-3</v>
      </c>
      <c r="G3" s="125">
        <f t="shared" ref="G3:G12" si="0">Capbyhw(B3/0.25,C3, Mean_Reversion, Volatility)</f>
        <v>8.2177248132000325E-3</v>
      </c>
      <c r="H3" s="125">
        <f t="shared" ref="H3:H12" si="1">(F3-G3)^2</f>
        <v>2.2827074810153575E-7</v>
      </c>
      <c r="I3" s="126">
        <f t="shared" ref="I3:I12" si="2">1/vega(D3/100,B3/0.25,C3)^2</f>
        <v>29664.92661454167</v>
      </c>
      <c r="J3" s="30"/>
      <c r="K3" s="30" t="s">
        <v>91</v>
      </c>
      <c r="L3" s="64">
        <v>1.0000346001936694E-4</v>
      </c>
    </row>
    <row r="4" spans="2:21">
      <c r="B4" s="30">
        <v>2</v>
      </c>
      <c r="C4" s="122">
        <f t="shared" ref="C4:C12" si="3">SwapRate(0.25,B4,0.25)</f>
        <v>2.2985181827151962E-2</v>
      </c>
      <c r="D4" s="123">
        <v>79.849999999999994</v>
      </c>
      <c r="E4" s="124">
        <f>IF($E$14="No",0,BlackVolCalc(G4, B4/0.25, C4, D4))</f>
        <v>76.977014226677241</v>
      </c>
      <c r="F4" s="125">
        <f t="shared" ref="F4:F12" si="4">MktCap(B4/0.25,C4,D4/100)</f>
        <v>1.7837189549074092E-2</v>
      </c>
      <c r="G4" s="125">
        <f t="shared" si="0"/>
        <v>1.6601005768640563E-2</v>
      </c>
      <c r="H4" s="125">
        <f t="shared" si="1"/>
        <v>1.5281503390069306E-6</v>
      </c>
      <c r="I4" s="126">
        <f t="shared" si="2"/>
        <v>3380.5790148110868</v>
      </c>
      <c r="J4" s="30"/>
      <c r="K4" s="30" t="s">
        <v>1</v>
      </c>
      <c r="L4" s="64">
        <v>1.5584837213330273E-2</v>
      </c>
    </row>
    <row r="5" spans="2:21">
      <c r="B5" s="30">
        <v>3</v>
      </c>
      <c r="C5" s="122">
        <f t="shared" si="3"/>
        <v>2.4716634383711838E-2</v>
      </c>
      <c r="D5" s="123">
        <v>78.05</v>
      </c>
      <c r="E5" s="124">
        <f>IF($E$14="No",0,BlackVolCalc(G5, B5/0.25, C5, D5))</f>
        <v>73.520429968874382</v>
      </c>
      <c r="F5" s="125">
        <f t="shared" si="4"/>
        <v>2.9962570217350024E-2</v>
      </c>
      <c r="G5" s="125">
        <f t="shared" si="0"/>
        <v>2.6433462470627677E-2</v>
      </c>
      <c r="H5" s="125">
        <f t="shared" si="1"/>
        <v>1.2454601487975683E-5</v>
      </c>
      <c r="I5" s="126">
        <f t="shared" si="2"/>
        <v>1040.2792292371246</v>
      </c>
      <c r="J5" s="30"/>
      <c r="K5" s="30"/>
      <c r="L5" s="30"/>
    </row>
    <row r="6" spans="2:21">
      <c r="B6" s="30">
        <v>4</v>
      </c>
      <c r="C6" s="122">
        <f t="shared" si="3"/>
        <v>2.5682620398549558E-2</v>
      </c>
      <c r="D6" s="123">
        <v>72.900000000000006</v>
      </c>
      <c r="E6" s="124">
        <f>IF($E$14="No",0,BlackVolCalc(G6, B6/0.25, C6, D6))</f>
        <v>69.30155537900535</v>
      </c>
      <c r="F6" s="125">
        <f t="shared" si="4"/>
        <v>4.1578731795506807E-2</v>
      </c>
      <c r="G6" s="125">
        <f t="shared" si="0"/>
        <v>3.7345359406585517E-2</v>
      </c>
      <c r="H6" s="125">
        <f t="shared" si="1"/>
        <v>1.7921441783281151E-5</v>
      </c>
      <c r="I6" s="126">
        <f t="shared" si="2"/>
        <v>456.21377472932113</v>
      </c>
      <c r="J6" s="30"/>
      <c r="K6" s="30" t="s">
        <v>92</v>
      </c>
      <c r="L6" s="127">
        <f>SUMPRODUCT(H3:H12,I3:I12)</f>
        <v>5.7550331882044781E-2</v>
      </c>
    </row>
    <row r="7" spans="2:21">
      <c r="B7" s="30">
        <v>5</v>
      </c>
      <c r="C7" s="122">
        <f t="shared" si="3"/>
        <v>2.6364383097559858E-2</v>
      </c>
      <c r="D7" s="123">
        <v>68.349999999999994</v>
      </c>
      <c r="E7" s="124">
        <f>IF($E$14="No",0,BlackVolCalc(G7, B7/0.25, C7, D7))</f>
        <v>65.854402168568839</v>
      </c>
      <c r="F7" s="125">
        <f t="shared" si="4"/>
        <v>5.3143601854813337E-2</v>
      </c>
      <c r="G7" s="125">
        <f t="shared" si="0"/>
        <v>4.9117871175055637E-2</v>
      </c>
      <c r="H7" s="125">
        <f t="shared" si="1"/>
        <v>1.6206507505942392E-5</v>
      </c>
      <c r="I7" s="126">
        <f t="shared" si="2"/>
        <v>241.97699079429668</v>
      </c>
      <c r="J7" s="30"/>
      <c r="K7" s="30"/>
      <c r="L7" s="30"/>
    </row>
    <row r="8" spans="2:21">
      <c r="B8" s="30">
        <v>6</v>
      </c>
      <c r="C8" s="122">
        <f t="shared" si="3"/>
        <v>2.6895818611237896E-2</v>
      </c>
      <c r="D8" s="123">
        <v>61.2</v>
      </c>
      <c r="E8" s="124">
        <f>IF($E$14="No",0,BlackVolCalc(G8, B8/0.25, C8, D8))</f>
        <v>61.059320347864869</v>
      </c>
      <c r="F8" s="125">
        <f t="shared" si="4"/>
        <v>6.1858506285422124E-2</v>
      </c>
      <c r="G8" s="125">
        <f t="shared" si="0"/>
        <v>6.1561442264778922E-2</v>
      </c>
      <c r="H8" s="125">
        <f t="shared" si="1"/>
        <v>8.8247032360704791E-8</v>
      </c>
      <c r="I8" s="126">
        <f t="shared" si="2"/>
        <v>139.62693675438021</v>
      </c>
      <c r="J8" s="30"/>
      <c r="K8" s="30"/>
      <c r="L8" s="30"/>
    </row>
    <row r="9" spans="2:21">
      <c r="B9" s="30">
        <v>7</v>
      </c>
      <c r="C9" s="122">
        <f t="shared" si="3"/>
        <v>2.7355594980326602E-2</v>
      </c>
      <c r="D9" s="123">
        <v>56.35</v>
      </c>
      <c r="E9" s="124">
        <f>IF($E$14="No",0,BlackVolCalc(G9, B9/0.25, C9, D9))</f>
        <v>57.706419536818331</v>
      </c>
      <c r="F9" s="125">
        <f t="shared" si="4"/>
        <v>7.0948463164851927E-2</v>
      </c>
      <c r="G9" s="125">
        <f t="shared" si="0"/>
        <v>7.4528524202086541E-2</v>
      </c>
      <c r="H9" s="125">
        <f t="shared" si="1"/>
        <v>1.2816837030325377E-5</v>
      </c>
      <c r="I9" s="126">
        <f t="shared" si="2"/>
        <v>88.639606783029677</v>
      </c>
      <c r="J9" s="30"/>
      <c r="K9" s="30"/>
      <c r="L9" s="30"/>
      <c r="P9" s="30"/>
      <c r="Q9" s="60"/>
      <c r="R9" s="128"/>
      <c r="S9" s="30"/>
      <c r="T9" s="30"/>
      <c r="U9" s="30"/>
    </row>
    <row r="10" spans="2:21">
      <c r="B10" s="30">
        <v>8</v>
      </c>
      <c r="C10" s="122">
        <f t="shared" si="3"/>
        <v>2.7731955947957566E-2</v>
      </c>
      <c r="D10" s="123">
        <v>52.85</v>
      </c>
      <c r="E10" s="124">
        <f>IF($E$14="No",0,BlackVolCalc(G10, B10/0.25, C10, D10))</f>
        <v>55.252481992853482</v>
      </c>
      <c r="F10" s="125">
        <f t="shared" si="4"/>
        <v>8.0228330489846733E-2</v>
      </c>
      <c r="G10" s="125">
        <f t="shared" si="0"/>
        <v>8.7883375528886254E-2</v>
      </c>
      <c r="H10" s="125">
        <f t="shared" si="1"/>
        <v>5.8599714549723582E-5</v>
      </c>
      <c r="I10" s="126">
        <f t="shared" si="2"/>
        <v>60.411016570577665</v>
      </c>
      <c r="P10" s="129"/>
      <c r="Q10" s="130"/>
    </row>
    <row r="11" spans="2:21">
      <c r="B11" s="30">
        <v>9</v>
      </c>
      <c r="C11" s="122">
        <f t="shared" si="3"/>
        <v>2.8072334291067792E-2</v>
      </c>
      <c r="D11" s="123">
        <v>49.6</v>
      </c>
      <c r="E11" s="124">
        <f>IF($E$14="No",0,BlackVolCalc(G11, B11/0.25, C11, D11))</f>
        <v>52.978765246791752</v>
      </c>
      <c r="F11" s="125">
        <f t="shared" si="4"/>
        <v>8.8820200772195462E-2</v>
      </c>
      <c r="G11" s="125">
        <f t="shared" si="0"/>
        <v>0.10153423085814854</v>
      </c>
      <c r="H11" s="125">
        <f t="shared" si="1"/>
        <v>1.6164656102652007E-4</v>
      </c>
      <c r="I11" s="126">
        <f t="shared" si="2"/>
        <v>43.016139644533652</v>
      </c>
      <c r="P11" s="129"/>
      <c r="Q11" s="130"/>
      <c r="R11" s="131"/>
    </row>
    <row r="12" spans="2:21">
      <c r="B12" s="30">
        <v>10</v>
      </c>
      <c r="C12" s="122">
        <f t="shared" si="3"/>
        <v>2.8401516746868385E-2</v>
      </c>
      <c r="D12" s="123">
        <v>47.7</v>
      </c>
      <c r="E12" s="124">
        <f>IF($E$14="No",0,BlackVolCalc(G12, B12/0.25, C12, D12))</f>
        <v>51.534657532062994</v>
      </c>
      <c r="F12" s="125">
        <f t="shared" si="4"/>
        <v>9.8744193102828767E-2</v>
      </c>
      <c r="G12" s="125">
        <f t="shared" si="0"/>
        <v>0.11539800341409266</v>
      </c>
      <c r="H12" s="125">
        <f t="shared" si="1"/>
        <v>2.7734939788355963E-4</v>
      </c>
      <c r="I12" s="126">
        <f t="shared" si="2"/>
        <v>32.150456453695874</v>
      </c>
      <c r="P12" s="129"/>
      <c r="Q12" s="130"/>
      <c r="R12" s="131"/>
    </row>
    <row r="13" spans="2:21">
      <c r="B13" s="30"/>
      <c r="C13" s="60"/>
      <c r="D13" s="121"/>
      <c r="E13" s="121"/>
      <c r="F13" s="51"/>
      <c r="G13" s="51"/>
      <c r="H13" s="51"/>
      <c r="I13" s="51"/>
      <c r="P13" s="129"/>
      <c r="Q13" s="130"/>
      <c r="R13" s="131"/>
    </row>
    <row r="14" spans="2:21">
      <c r="B14" s="30"/>
      <c r="C14" s="152" t="s">
        <v>93</v>
      </c>
      <c r="D14" s="153"/>
      <c r="E14" s="132" t="s">
        <v>94</v>
      </c>
      <c r="I14" s="133"/>
    </row>
    <row r="15" spans="2:21">
      <c r="C15" s="134"/>
      <c r="D15" s="121"/>
      <c r="E15" s="121"/>
      <c r="F15" s="51"/>
      <c r="G15" s="131"/>
      <c r="H15" s="131"/>
      <c r="I15" s="131"/>
    </row>
    <row r="16" spans="2:21">
      <c r="C16" s="134"/>
      <c r="D16" s="121"/>
      <c r="E16" s="121"/>
      <c r="F16" s="51"/>
      <c r="G16" s="131"/>
      <c r="H16" s="131"/>
      <c r="I16" s="131"/>
    </row>
    <row r="17" spans="3:12">
      <c r="C17" s="134"/>
      <c r="D17" s="121"/>
      <c r="E17" s="121"/>
      <c r="F17" s="51"/>
      <c r="G17" s="131"/>
      <c r="H17" s="131"/>
      <c r="I17" s="131"/>
      <c r="L17" s="135"/>
    </row>
    <row r="18" spans="3:12">
      <c r="C18" s="134"/>
      <c r="D18" s="121"/>
      <c r="E18" s="121"/>
      <c r="F18" s="51"/>
      <c r="G18" s="131"/>
      <c r="H18" s="131"/>
      <c r="I18" s="131"/>
      <c r="L18" s="135"/>
    </row>
    <row r="19" spans="3:12">
      <c r="C19" s="134"/>
      <c r="D19" s="121"/>
      <c r="E19" s="121"/>
      <c r="F19" s="51"/>
      <c r="G19" s="131"/>
      <c r="H19" s="131"/>
      <c r="I19" s="131"/>
      <c r="L19" s="135"/>
    </row>
    <row r="20" spans="3:12">
      <c r="C20" s="134"/>
      <c r="D20" s="121"/>
      <c r="E20" s="121"/>
      <c r="F20" s="51"/>
      <c r="G20" s="131"/>
      <c r="H20" s="131"/>
      <c r="I20" s="131"/>
      <c r="L20" s="135"/>
    </row>
    <row r="21" spans="3:12">
      <c r="C21" s="134"/>
      <c r="D21" s="121"/>
      <c r="E21" s="121"/>
      <c r="F21" s="51"/>
      <c r="G21" s="131"/>
      <c r="H21" s="131"/>
      <c r="I21" s="131"/>
      <c r="L21" s="135"/>
    </row>
    <row r="22" spans="3:12">
      <c r="C22" s="134"/>
      <c r="D22" s="121"/>
      <c r="E22" s="121"/>
      <c r="F22" s="51"/>
      <c r="G22" s="131"/>
      <c r="H22" s="131"/>
      <c r="I22" s="131"/>
      <c r="L22" s="135"/>
    </row>
    <row r="23" spans="3:12">
      <c r="C23" s="134"/>
      <c r="D23" s="121"/>
      <c r="E23" s="121"/>
      <c r="F23" s="51"/>
      <c r="G23" s="131"/>
      <c r="H23" s="131"/>
      <c r="I23" s="131"/>
      <c r="L23" s="135"/>
    </row>
    <row r="24" spans="3:12">
      <c r="C24" s="134"/>
      <c r="D24" s="121"/>
      <c r="E24" s="121"/>
      <c r="F24" s="51"/>
      <c r="G24" s="131"/>
      <c r="H24" s="131"/>
      <c r="I24" s="131"/>
      <c r="L24" s="135"/>
    </row>
    <row r="25" spans="3:12">
      <c r="C25" s="134"/>
      <c r="D25" s="121"/>
      <c r="E25" s="121"/>
      <c r="F25" s="51"/>
      <c r="G25" s="131"/>
      <c r="H25" s="131"/>
      <c r="I25" s="131"/>
      <c r="L25" s="135"/>
    </row>
    <row r="26" spans="3:12">
      <c r="C26" s="134"/>
      <c r="D26" s="121"/>
      <c r="E26" s="121"/>
      <c r="F26" s="51"/>
      <c r="G26" s="131"/>
      <c r="H26" s="131"/>
      <c r="I26" s="131"/>
      <c r="L26" s="135"/>
    </row>
    <row r="27" spans="3:12">
      <c r="C27" s="134"/>
      <c r="D27" s="121"/>
      <c r="E27" s="121"/>
      <c r="F27" s="51"/>
      <c r="G27" s="131"/>
      <c r="H27" s="131"/>
      <c r="I27" s="131"/>
      <c r="L27" s="135"/>
    </row>
    <row r="28" spans="3:12">
      <c r="C28" s="134"/>
      <c r="D28" s="121"/>
      <c r="E28" s="121"/>
      <c r="F28" s="51"/>
      <c r="G28" s="131"/>
      <c r="H28" s="131"/>
      <c r="I28" s="131"/>
      <c r="L28" s="135"/>
    </row>
    <row r="29" spans="3:12">
      <c r="C29" s="134"/>
      <c r="D29" s="121"/>
      <c r="E29" s="121"/>
      <c r="F29" s="51"/>
      <c r="G29" s="131"/>
      <c r="H29" s="131"/>
      <c r="I29" s="131"/>
      <c r="L29" s="135"/>
    </row>
    <row r="30" spans="3:12">
      <c r="C30" s="134"/>
      <c r="D30" s="121"/>
      <c r="E30" s="121"/>
      <c r="F30" s="51"/>
      <c r="G30" s="131"/>
      <c r="H30" s="131"/>
      <c r="I30" s="131"/>
      <c r="L30" s="135"/>
    </row>
    <row r="31" spans="3:12">
      <c r="C31" s="134"/>
      <c r="D31" s="121"/>
      <c r="E31" s="121"/>
      <c r="F31" s="51"/>
      <c r="G31" s="131"/>
      <c r="H31" s="131"/>
      <c r="I31" s="131"/>
      <c r="L31" s="135"/>
    </row>
    <row r="32" spans="3:12">
      <c r="C32" s="134"/>
      <c r="D32" s="121"/>
      <c r="E32" s="121"/>
      <c r="F32" s="51"/>
      <c r="G32" s="131"/>
      <c r="H32" s="131"/>
      <c r="I32" s="131"/>
      <c r="L32" s="135"/>
    </row>
    <row r="33" spans="3:12">
      <c r="C33" s="134"/>
      <c r="D33" s="121"/>
      <c r="E33" s="121"/>
      <c r="F33" s="51"/>
      <c r="G33" s="131"/>
      <c r="H33" s="131"/>
      <c r="I33" s="131"/>
      <c r="L33" s="135"/>
    </row>
    <row r="34" spans="3:12">
      <c r="C34" s="134"/>
      <c r="D34" s="121"/>
      <c r="E34" s="121"/>
      <c r="F34" s="51"/>
      <c r="G34" s="131"/>
      <c r="H34" s="131"/>
      <c r="I34" s="131"/>
      <c r="L34" s="135"/>
    </row>
    <row r="35" spans="3:12">
      <c r="C35" s="134"/>
      <c r="D35" s="121"/>
      <c r="E35" s="121"/>
      <c r="F35" s="51"/>
      <c r="G35" s="131"/>
      <c r="H35" s="131"/>
      <c r="I35" s="131"/>
      <c r="L35" s="135"/>
    </row>
    <row r="36" spans="3:12">
      <c r="C36" s="134"/>
      <c r="D36" s="121"/>
      <c r="E36" s="121"/>
      <c r="F36" s="51"/>
      <c r="G36" s="131"/>
      <c r="H36" s="131"/>
      <c r="I36" s="131"/>
      <c r="L36" s="135"/>
    </row>
    <row r="37" spans="3:12">
      <c r="C37" s="134"/>
      <c r="D37" s="121"/>
      <c r="E37" s="121"/>
      <c r="F37" s="51"/>
      <c r="G37" s="131"/>
      <c r="H37" s="131"/>
      <c r="I37" s="131"/>
      <c r="L37" s="135"/>
    </row>
    <row r="38" spans="3:12">
      <c r="C38" s="134"/>
      <c r="D38" s="121"/>
      <c r="E38" s="121"/>
      <c r="F38" s="51"/>
      <c r="G38" s="131"/>
      <c r="H38" s="131"/>
      <c r="I38" s="131"/>
      <c r="L38" s="135"/>
    </row>
    <row r="39" spans="3:12">
      <c r="C39" s="134"/>
      <c r="D39" s="121"/>
      <c r="E39" s="121"/>
      <c r="F39" s="51"/>
      <c r="G39" s="131"/>
      <c r="H39" s="131"/>
      <c r="I39" s="131"/>
      <c r="L39" s="135"/>
    </row>
    <row r="40" spans="3:12">
      <c r="C40" s="134"/>
      <c r="D40" s="121"/>
      <c r="E40" s="121"/>
      <c r="F40" s="51"/>
      <c r="G40" s="131"/>
      <c r="H40" s="131"/>
      <c r="I40" s="131"/>
      <c r="L40" s="135"/>
    </row>
    <row r="41" spans="3:12">
      <c r="C41" s="134"/>
      <c r="D41" s="121"/>
      <c r="E41" s="121"/>
      <c r="F41" s="51"/>
      <c r="G41" s="131"/>
      <c r="H41" s="131"/>
      <c r="I41" s="131"/>
      <c r="L41" s="135"/>
    </row>
    <row r="42" spans="3:12">
      <c r="C42" s="134"/>
      <c r="D42" s="121"/>
      <c r="E42" s="121"/>
      <c r="F42" s="51"/>
      <c r="G42" s="131"/>
      <c r="H42" s="131"/>
      <c r="I42" s="131"/>
      <c r="L42" s="135"/>
    </row>
    <row r="43" spans="3:12">
      <c r="C43" s="134"/>
      <c r="D43" s="121"/>
      <c r="E43" s="121"/>
      <c r="F43" s="51"/>
      <c r="G43" s="131"/>
      <c r="H43" s="131"/>
      <c r="I43" s="131"/>
      <c r="L43" s="135"/>
    </row>
    <row r="44" spans="3:12">
      <c r="C44" s="134"/>
      <c r="D44" s="121"/>
      <c r="E44" s="121"/>
      <c r="F44" s="51"/>
      <c r="G44" s="131"/>
      <c r="H44" s="131"/>
      <c r="I44" s="131"/>
      <c r="L44" s="135"/>
    </row>
    <row r="45" spans="3:12">
      <c r="C45" s="134"/>
      <c r="D45" s="121"/>
      <c r="E45" s="121"/>
      <c r="F45" s="51"/>
      <c r="G45" s="131"/>
      <c r="H45" s="131"/>
      <c r="I45" s="131"/>
      <c r="L45" s="135"/>
    </row>
    <row r="46" spans="3:12">
      <c r="C46" s="134"/>
      <c r="D46" s="121"/>
      <c r="E46" s="121"/>
      <c r="F46" s="51"/>
      <c r="G46" s="131"/>
      <c r="H46" s="131"/>
      <c r="I46" s="131"/>
      <c r="L46" s="135"/>
    </row>
    <row r="47" spans="3:12">
      <c r="C47" s="134"/>
      <c r="D47" s="121"/>
      <c r="E47" s="121"/>
      <c r="F47" s="51"/>
      <c r="G47" s="131"/>
      <c r="H47" s="131"/>
      <c r="I47" s="131"/>
      <c r="L47" s="135"/>
    </row>
    <row r="48" spans="3:12">
      <c r="C48" s="134"/>
      <c r="D48" s="121"/>
      <c r="E48" s="121"/>
      <c r="F48" s="51"/>
      <c r="G48" s="131"/>
      <c r="H48" s="131"/>
      <c r="I48" s="131"/>
      <c r="L48" s="135"/>
    </row>
    <row r="49" spans="3:12">
      <c r="C49" s="134"/>
      <c r="D49" s="121"/>
      <c r="E49" s="121"/>
      <c r="F49" s="51"/>
      <c r="G49" s="131"/>
      <c r="H49" s="131"/>
      <c r="I49" s="131"/>
      <c r="L49" s="135"/>
    </row>
    <row r="50" spans="3:12">
      <c r="C50" s="134"/>
      <c r="D50" s="121"/>
      <c r="E50" s="121"/>
      <c r="F50" s="51"/>
      <c r="G50" s="131"/>
      <c r="H50" s="131"/>
      <c r="I50" s="131"/>
      <c r="L50" s="135"/>
    </row>
    <row r="51" spans="3:12">
      <c r="C51" s="134"/>
      <c r="D51" s="121"/>
      <c r="E51" s="121"/>
      <c r="F51" s="51"/>
      <c r="G51" s="131"/>
      <c r="H51" s="131"/>
      <c r="I51" s="131"/>
      <c r="L51" s="135"/>
    </row>
    <row r="52" spans="3:12">
      <c r="C52" s="134"/>
      <c r="D52" s="121"/>
      <c r="E52" s="121"/>
      <c r="F52" s="51"/>
      <c r="G52" s="131"/>
      <c r="H52" s="131"/>
      <c r="I52" s="131"/>
      <c r="L52" s="135"/>
    </row>
    <row r="53" spans="3:12">
      <c r="C53" s="134"/>
      <c r="D53" s="121"/>
      <c r="E53" s="121"/>
      <c r="F53" s="51"/>
      <c r="G53" s="131"/>
      <c r="H53" s="131"/>
      <c r="I53" s="131"/>
      <c r="L53" s="135"/>
    </row>
    <row r="54" spans="3:12">
      <c r="C54" s="134"/>
      <c r="D54" s="121"/>
      <c r="E54" s="121"/>
      <c r="F54" s="51"/>
      <c r="G54" s="131"/>
      <c r="H54" s="131"/>
      <c r="I54" s="131"/>
      <c r="L54" s="135"/>
    </row>
    <row r="55" spans="3:12">
      <c r="C55" s="134"/>
      <c r="D55" s="121"/>
      <c r="E55" s="121"/>
      <c r="F55" s="51"/>
      <c r="G55" s="131"/>
      <c r="H55" s="131"/>
      <c r="I55" s="131"/>
      <c r="L55" s="135"/>
    </row>
    <row r="56" spans="3:12">
      <c r="C56" s="134"/>
      <c r="D56" s="121"/>
      <c r="E56" s="121"/>
      <c r="F56" s="51"/>
      <c r="G56" s="131"/>
      <c r="H56" s="131"/>
      <c r="I56" s="131"/>
      <c r="L56" s="135"/>
    </row>
    <row r="57" spans="3:12">
      <c r="C57" s="134"/>
      <c r="D57" s="121"/>
      <c r="E57" s="121"/>
      <c r="F57" s="51"/>
      <c r="G57" s="131"/>
      <c r="H57" s="131"/>
      <c r="I57" s="131"/>
      <c r="L57" s="135"/>
    </row>
    <row r="58" spans="3:12">
      <c r="C58" s="134"/>
      <c r="D58" s="121"/>
      <c r="E58" s="121"/>
      <c r="F58" s="51"/>
      <c r="G58" s="131"/>
      <c r="H58" s="131"/>
      <c r="I58" s="131"/>
      <c r="L58" s="135"/>
    </row>
    <row r="59" spans="3:12">
      <c r="C59" s="134"/>
      <c r="D59" s="121"/>
      <c r="E59" s="121"/>
      <c r="F59" s="51"/>
      <c r="G59" s="131"/>
      <c r="H59" s="131"/>
      <c r="I59" s="131"/>
      <c r="L59" s="135"/>
    </row>
    <row r="60" spans="3:12">
      <c r="C60" s="134"/>
      <c r="D60" s="121"/>
      <c r="E60" s="121"/>
      <c r="F60" s="51"/>
      <c r="G60" s="131"/>
      <c r="H60" s="131"/>
      <c r="I60" s="131"/>
      <c r="L60" s="135"/>
    </row>
    <row r="61" spans="3:12">
      <c r="C61" s="134"/>
      <c r="D61" s="121"/>
      <c r="E61" s="121"/>
      <c r="F61" s="51"/>
      <c r="G61" s="131"/>
      <c r="H61" s="131"/>
      <c r="I61" s="131"/>
      <c r="L61" s="135"/>
    </row>
    <row r="62" spans="3:12">
      <c r="C62" s="134"/>
      <c r="D62" s="121"/>
      <c r="E62" s="121"/>
      <c r="F62" s="51"/>
      <c r="G62" s="131"/>
      <c r="H62" s="131"/>
      <c r="I62" s="131"/>
      <c r="L62" s="135"/>
    </row>
    <row r="63" spans="3:12">
      <c r="C63" s="136"/>
      <c r="D63" s="121"/>
      <c r="E63" s="121"/>
      <c r="F63" s="51"/>
      <c r="G63" s="131"/>
      <c r="H63" s="131"/>
      <c r="I63" s="131"/>
      <c r="L63" s="135"/>
    </row>
    <row r="64" spans="3:12">
      <c r="C64" s="136"/>
      <c r="D64" s="121"/>
      <c r="E64" s="121"/>
      <c r="F64" s="51"/>
      <c r="G64" s="131"/>
      <c r="H64" s="131"/>
      <c r="I64" s="131"/>
      <c r="L64" s="135"/>
    </row>
    <row r="65" spans="3:12">
      <c r="C65" s="136"/>
      <c r="D65" s="121"/>
      <c r="E65" s="121"/>
      <c r="F65" s="51"/>
      <c r="G65" s="131"/>
      <c r="H65" s="131"/>
      <c r="I65" s="131"/>
      <c r="L65" s="135"/>
    </row>
    <row r="66" spans="3:12">
      <c r="C66" s="136"/>
      <c r="D66" s="121"/>
      <c r="E66" s="121"/>
      <c r="F66" s="51"/>
      <c r="G66" s="131"/>
      <c r="H66" s="131"/>
      <c r="I66" s="131"/>
      <c r="L66" s="135"/>
    </row>
    <row r="67" spans="3:12">
      <c r="C67" s="136"/>
      <c r="D67" s="121"/>
      <c r="E67" s="121"/>
      <c r="F67" s="51"/>
      <c r="G67" s="131"/>
      <c r="H67" s="131"/>
      <c r="I67" s="131"/>
      <c r="L67" s="135"/>
    </row>
    <row r="68" spans="3:12">
      <c r="C68" s="136"/>
      <c r="D68" s="121"/>
      <c r="E68" s="121"/>
      <c r="F68" s="51"/>
      <c r="G68" s="131"/>
      <c r="H68" s="131"/>
      <c r="I68" s="131"/>
      <c r="L68" s="135"/>
    </row>
    <row r="69" spans="3:12">
      <c r="C69" s="136"/>
      <c r="D69" s="121"/>
      <c r="E69" s="121"/>
      <c r="F69" s="51"/>
      <c r="G69" s="131"/>
      <c r="H69" s="131"/>
      <c r="I69" s="131"/>
      <c r="L69" s="135"/>
    </row>
    <row r="70" spans="3:12">
      <c r="C70" s="136"/>
      <c r="D70" s="121"/>
      <c r="E70" s="121"/>
      <c r="F70" s="51"/>
      <c r="G70" s="131"/>
      <c r="H70" s="131"/>
      <c r="I70" s="131"/>
      <c r="L70" s="135"/>
    </row>
    <row r="71" spans="3:12">
      <c r="C71" s="136"/>
      <c r="D71" s="121"/>
      <c r="E71" s="121"/>
      <c r="F71" s="51"/>
      <c r="G71" s="131"/>
      <c r="H71" s="131"/>
      <c r="I71" s="131"/>
      <c r="L71" s="135"/>
    </row>
    <row r="72" spans="3:12">
      <c r="C72" s="136"/>
      <c r="D72" s="121"/>
      <c r="E72" s="121"/>
      <c r="F72" s="51"/>
      <c r="G72" s="131"/>
      <c r="H72" s="131"/>
      <c r="I72" s="131"/>
      <c r="L72" s="135"/>
    </row>
    <row r="73" spans="3:12">
      <c r="C73" s="136"/>
      <c r="D73" s="121"/>
      <c r="E73" s="121"/>
      <c r="F73" s="51"/>
      <c r="G73" s="131"/>
      <c r="H73" s="131"/>
      <c r="I73" s="131"/>
      <c r="L73" s="135"/>
    </row>
    <row r="74" spans="3:12">
      <c r="C74" s="136"/>
      <c r="D74" s="121"/>
      <c r="E74" s="121"/>
      <c r="F74" s="51"/>
      <c r="G74" s="131"/>
      <c r="H74" s="131"/>
      <c r="I74" s="131"/>
      <c r="L74" s="135"/>
    </row>
    <row r="75" spans="3:12">
      <c r="C75" s="136"/>
      <c r="D75" s="121"/>
      <c r="E75" s="121"/>
      <c r="F75" s="51"/>
      <c r="G75" s="131"/>
      <c r="H75" s="131"/>
      <c r="I75" s="131"/>
      <c r="L75" s="135"/>
    </row>
    <row r="76" spans="3:12">
      <c r="C76" s="136"/>
      <c r="D76" s="121"/>
      <c r="E76" s="121"/>
      <c r="F76" s="51"/>
      <c r="G76" s="131"/>
      <c r="H76" s="131"/>
      <c r="I76" s="131"/>
      <c r="L76" s="135"/>
    </row>
    <row r="77" spans="3:12">
      <c r="C77" s="136"/>
      <c r="D77" s="121"/>
      <c r="E77" s="121"/>
      <c r="F77" s="51"/>
      <c r="G77" s="131"/>
      <c r="H77" s="131"/>
      <c r="I77" s="131"/>
      <c r="L77" s="135"/>
    </row>
    <row r="78" spans="3:12">
      <c r="C78" s="136"/>
      <c r="D78" s="121"/>
      <c r="E78" s="121"/>
      <c r="F78" s="51"/>
      <c r="G78" s="131"/>
      <c r="H78" s="131"/>
      <c r="I78" s="131"/>
      <c r="L78" s="135"/>
    </row>
    <row r="79" spans="3:12">
      <c r="C79" s="136"/>
      <c r="D79" s="121"/>
      <c r="E79" s="121"/>
      <c r="F79" s="51"/>
      <c r="G79" s="131"/>
      <c r="H79" s="131"/>
      <c r="I79" s="131"/>
      <c r="L79" s="135"/>
    </row>
    <row r="80" spans="3:12">
      <c r="C80" s="136"/>
      <c r="D80" s="121"/>
      <c r="E80" s="121"/>
      <c r="F80" s="51"/>
      <c r="G80" s="131"/>
      <c r="H80" s="131"/>
      <c r="I80" s="131"/>
      <c r="L80" s="135"/>
    </row>
    <row r="81" spans="3:12">
      <c r="C81" s="136"/>
      <c r="D81" s="121"/>
      <c r="E81" s="121"/>
      <c r="F81" s="51"/>
      <c r="G81" s="131"/>
      <c r="H81" s="131"/>
      <c r="I81" s="131"/>
      <c r="L81" s="135"/>
    </row>
    <row r="82" spans="3:12">
      <c r="C82" s="136"/>
      <c r="D82" s="121"/>
      <c r="E82" s="121"/>
      <c r="F82" s="51"/>
      <c r="G82" s="131"/>
      <c r="H82" s="131"/>
      <c r="I82" s="131"/>
      <c r="L82" s="135"/>
    </row>
    <row r="83" spans="3:12">
      <c r="C83" s="136"/>
      <c r="D83" s="121"/>
      <c r="E83" s="121"/>
      <c r="F83" s="51"/>
      <c r="G83" s="131"/>
      <c r="H83" s="131"/>
      <c r="I83" s="131"/>
      <c r="L83" s="135"/>
    </row>
    <row r="84" spans="3:12">
      <c r="C84" s="136"/>
      <c r="D84" s="121"/>
      <c r="E84" s="121"/>
      <c r="F84" s="51"/>
      <c r="G84" s="131"/>
      <c r="H84" s="131"/>
      <c r="I84" s="131"/>
      <c r="L84" s="135"/>
    </row>
    <row r="85" spans="3:12">
      <c r="C85" s="136"/>
      <c r="D85" s="121"/>
      <c r="E85" s="121"/>
      <c r="F85" s="51"/>
      <c r="G85" s="131"/>
      <c r="H85" s="131"/>
      <c r="I85" s="131"/>
      <c r="L85" s="135"/>
    </row>
    <row r="86" spans="3:12">
      <c r="C86" s="136"/>
      <c r="D86" s="121"/>
      <c r="E86" s="121"/>
      <c r="F86" s="51"/>
      <c r="G86" s="131"/>
      <c r="H86" s="131"/>
      <c r="I86" s="131"/>
      <c r="L86" s="135"/>
    </row>
    <row r="87" spans="3:12">
      <c r="C87" s="136"/>
      <c r="D87" s="121"/>
      <c r="E87" s="121"/>
      <c r="F87" s="51"/>
      <c r="G87" s="131"/>
      <c r="H87" s="131"/>
      <c r="I87" s="131"/>
      <c r="L87" s="135"/>
    </row>
    <row r="88" spans="3:12">
      <c r="C88" s="136"/>
      <c r="D88" s="121"/>
      <c r="E88" s="121"/>
      <c r="F88" s="51"/>
      <c r="G88" s="131"/>
      <c r="H88" s="131"/>
      <c r="I88" s="131"/>
      <c r="L88" s="135"/>
    </row>
    <row r="89" spans="3:12">
      <c r="C89" s="136"/>
      <c r="D89" s="121"/>
      <c r="E89" s="121"/>
      <c r="F89" s="51"/>
      <c r="G89" s="131"/>
      <c r="H89" s="131"/>
      <c r="I89" s="131"/>
      <c r="L89" s="135"/>
    </row>
    <row r="90" spans="3:12">
      <c r="C90" s="136"/>
      <c r="D90" s="121"/>
      <c r="E90" s="121"/>
      <c r="F90" s="51"/>
      <c r="G90" s="131"/>
      <c r="H90" s="131"/>
      <c r="I90" s="131"/>
      <c r="L90" s="135"/>
    </row>
    <row r="91" spans="3:12">
      <c r="C91" s="136"/>
      <c r="D91" s="121"/>
      <c r="E91" s="121"/>
      <c r="F91" s="51"/>
      <c r="G91" s="131"/>
      <c r="H91" s="131"/>
      <c r="I91" s="131"/>
      <c r="L91" s="135"/>
    </row>
    <row r="92" spans="3:12">
      <c r="C92" s="136"/>
      <c r="D92" s="121"/>
      <c r="E92" s="121"/>
      <c r="F92" s="51"/>
      <c r="G92" s="131"/>
      <c r="H92" s="131"/>
      <c r="I92" s="131"/>
      <c r="L92" s="135"/>
    </row>
    <row r="93" spans="3:12">
      <c r="C93" s="136"/>
      <c r="D93" s="121"/>
      <c r="E93" s="121"/>
      <c r="F93" s="51"/>
      <c r="G93" s="131"/>
      <c r="H93" s="131"/>
      <c r="I93" s="131"/>
      <c r="L93" s="135"/>
    </row>
    <row r="94" spans="3:12">
      <c r="C94" s="136"/>
      <c r="D94" s="121"/>
      <c r="E94" s="121"/>
      <c r="F94" s="51"/>
      <c r="G94" s="131"/>
      <c r="H94" s="131"/>
      <c r="I94" s="131"/>
      <c r="L94" s="135"/>
    </row>
    <row r="95" spans="3:12">
      <c r="C95" s="136"/>
      <c r="D95" s="121"/>
      <c r="E95" s="121"/>
      <c r="F95" s="51"/>
      <c r="G95" s="131"/>
      <c r="H95" s="131"/>
      <c r="I95" s="131"/>
      <c r="L95" s="135"/>
    </row>
    <row r="96" spans="3:12">
      <c r="C96" s="136"/>
      <c r="D96" s="121"/>
      <c r="E96" s="121"/>
      <c r="F96" s="51"/>
      <c r="G96" s="131"/>
      <c r="H96" s="131"/>
      <c r="I96" s="131"/>
      <c r="L96" s="135"/>
    </row>
    <row r="97" spans="3:12">
      <c r="C97" s="136"/>
      <c r="D97" s="121"/>
      <c r="E97" s="121"/>
      <c r="F97" s="51"/>
      <c r="G97" s="131"/>
      <c r="H97" s="131"/>
      <c r="I97" s="131"/>
      <c r="L97" s="135"/>
    </row>
    <row r="98" spans="3:12">
      <c r="C98" s="136"/>
      <c r="D98" s="121"/>
      <c r="E98" s="121"/>
      <c r="F98" s="51"/>
      <c r="G98" s="131"/>
      <c r="H98" s="131"/>
      <c r="I98" s="131"/>
      <c r="L98" s="135"/>
    </row>
    <row r="99" spans="3:12">
      <c r="C99" s="136"/>
      <c r="D99" s="121"/>
      <c r="E99" s="121"/>
      <c r="F99" s="51"/>
      <c r="G99" s="131"/>
      <c r="H99" s="131"/>
      <c r="I99" s="131"/>
      <c r="L99" s="135"/>
    </row>
    <row r="100" spans="3:12">
      <c r="C100" s="136"/>
      <c r="D100" s="121"/>
      <c r="E100" s="121"/>
      <c r="F100" s="51"/>
      <c r="G100" s="131"/>
      <c r="H100" s="131"/>
      <c r="I100" s="131"/>
      <c r="L100" s="135"/>
    </row>
    <row r="101" spans="3:12">
      <c r="C101" s="136"/>
      <c r="D101" s="121"/>
      <c r="E101" s="121"/>
      <c r="F101" s="51"/>
      <c r="G101" s="131"/>
      <c r="H101" s="131"/>
      <c r="I101" s="131"/>
      <c r="L101" s="135"/>
    </row>
    <row r="102" spans="3:12">
      <c r="C102" s="136"/>
      <c r="D102" s="121"/>
      <c r="E102" s="121"/>
      <c r="F102" s="51"/>
      <c r="G102" s="131"/>
      <c r="H102" s="131"/>
      <c r="I102" s="131"/>
      <c r="L102" s="135"/>
    </row>
    <row r="103" spans="3:12">
      <c r="C103" s="136"/>
      <c r="D103" s="121"/>
      <c r="E103" s="121"/>
      <c r="F103" s="51"/>
      <c r="G103" s="131"/>
      <c r="H103" s="131"/>
      <c r="I103" s="131"/>
      <c r="L103" s="135"/>
    </row>
    <row r="104" spans="3:12">
      <c r="C104" s="136"/>
      <c r="D104" s="121"/>
      <c r="E104" s="121"/>
      <c r="F104" s="51"/>
      <c r="G104" s="131"/>
      <c r="H104" s="131"/>
      <c r="I104" s="131"/>
      <c r="L104" s="135"/>
    </row>
    <row r="105" spans="3:12">
      <c r="C105" s="136"/>
      <c r="D105" s="121"/>
      <c r="E105" s="121"/>
      <c r="F105" s="51"/>
      <c r="G105" s="131"/>
      <c r="H105" s="131"/>
      <c r="I105" s="131"/>
      <c r="L105" s="135"/>
    </row>
    <row r="106" spans="3:12">
      <c r="C106" s="136"/>
      <c r="D106" s="121"/>
      <c r="E106" s="121"/>
      <c r="F106" s="51"/>
      <c r="G106" s="131"/>
      <c r="H106" s="131"/>
      <c r="I106" s="131"/>
      <c r="L106" s="135"/>
    </row>
    <row r="107" spans="3:12">
      <c r="C107" s="136"/>
      <c r="D107" s="121"/>
      <c r="E107" s="121"/>
      <c r="F107" s="51"/>
      <c r="G107" s="131"/>
      <c r="H107" s="131"/>
      <c r="I107" s="131"/>
      <c r="L107" s="135"/>
    </row>
    <row r="108" spans="3:12">
      <c r="C108" s="136"/>
      <c r="D108" s="121"/>
      <c r="E108" s="121"/>
      <c r="F108" s="51"/>
      <c r="G108" s="131"/>
      <c r="H108" s="131"/>
      <c r="I108" s="131"/>
      <c r="L108" s="135"/>
    </row>
    <row r="109" spans="3:12">
      <c r="C109" s="136"/>
      <c r="D109" s="121"/>
      <c r="E109" s="121"/>
      <c r="F109" s="51"/>
      <c r="G109" s="131"/>
      <c r="H109" s="131"/>
      <c r="I109" s="131"/>
      <c r="L109" s="135"/>
    </row>
    <row r="110" spans="3:12">
      <c r="C110" s="136"/>
      <c r="D110" s="121"/>
      <c r="E110" s="121"/>
      <c r="F110" s="51"/>
      <c r="G110" s="131"/>
      <c r="H110" s="131"/>
      <c r="I110" s="131"/>
      <c r="L110" s="135"/>
    </row>
    <row r="111" spans="3:12">
      <c r="C111" s="136"/>
      <c r="D111" s="121"/>
      <c r="E111" s="121"/>
      <c r="F111" s="51"/>
      <c r="G111" s="131"/>
      <c r="H111" s="131"/>
      <c r="I111" s="131"/>
      <c r="L111" s="135"/>
    </row>
    <row r="112" spans="3:12">
      <c r="C112" s="136"/>
      <c r="D112" s="121"/>
      <c r="E112" s="121"/>
      <c r="F112" s="51"/>
      <c r="G112" s="131"/>
      <c r="H112" s="131"/>
      <c r="I112" s="131"/>
      <c r="L112" s="135"/>
    </row>
    <row r="113" spans="3:12">
      <c r="C113" s="136"/>
      <c r="D113" s="121"/>
      <c r="E113" s="121"/>
      <c r="F113" s="51"/>
      <c r="G113" s="131"/>
      <c r="H113" s="131"/>
      <c r="I113" s="131"/>
      <c r="L113" s="135"/>
    </row>
    <row r="114" spans="3:12">
      <c r="C114" s="136"/>
      <c r="D114" s="121"/>
      <c r="E114" s="121"/>
      <c r="F114" s="51"/>
      <c r="G114" s="131"/>
      <c r="H114" s="131"/>
      <c r="I114" s="131"/>
      <c r="L114" s="135"/>
    </row>
    <row r="115" spans="3:12">
      <c r="C115" s="136"/>
      <c r="D115" s="121"/>
      <c r="E115" s="121"/>
      <c r="F115" s="51"/>
      <c r="G115" s="131"/>
      <c r="H115" s="131"/>
      <c r="I115" s="131"/>
      <c r="L115" s="135"/>
    </row>
    <row r="116" spans="3:12">
      <c r="C116" s="136"/>
      <c r="D116" s="121"/>
      <c r="E116" s="121"/>
      <c r="F116" s="51"/>
      <c r="G116" s="131"/>
      <c r="H116" s="131"/>
      <c r="I116" s="131"/>
      <c r="L116" s="135"/>
    </row>
    <row r="117" spans="3:12">
      <c r="C117" s="136"/>
      <c r="D117" s="121"/>
      <c r="E117" s="121"/>
      <c r="F117" s="51"/>
      <c r="G117" s="131"/>
      <c r="H117" s="131"/>
      <c r="I117" s="131"/>
      <c r="L117" s="135"/>
    </row>
    <row r="118" spans="3:12">
      <c r="C118" s="136"/>
      <c r="D118" s="121"/>
      <c r="E118" s="121"/>
      <c r="F118" s="51"/>
      <c r="G118" s="131"/>
      <c r="H118" s="131"/>
      <c r="I118" s="131"/>
      <c r="L118" s="135"/>
    </row>
    <row r="119" spans="3:12">
      <c r="C119" s="136"/>
      <c r="D119" s="121"/>
      <c r="E119" s="121"/>
      <c r="F119" s="51"/>
      <c r="G119" s="131"/>
      <c r="H119" s="131"/>
      <c r="I119" s="131"/>
      <c r="L119" s="135"/>
    </row>
    <row r="120" spans="3:12">
      <c r="C120" s="136"/>
      <c r="D120" s="121"/>
      <c r="E120" s="121"/>
      <c r="F120" s="51"/>
      <c r="G120" s="131"/>
      <c r="H120" s="131"/>
      <c r="I120" s="131"/>
      <c r="L120" s="135"/>
    </row>
    <row r="121" spans="3:12">
      <c r="C121" s="136"/>
      <c r="D121" s="121"/>
      <c r="E121" s="121"/>
      <c r="F121" s="51"/>
      <c r="G121" s="131"/>
      <c r="H121" s="131"/>
      <c r="I121" s="131"/>
      <c r="L121" s="135"/>
    </row>
    <row r="122" spans="3:12">
      <c r="C122" s="136"/>
      <c r="D122" s="121"/>
      <c r="E122" s="121"/>
      <c r="F122" s="51"/>
      <c r="G122" s="131"/>
      <c r="H122" s="131"/>
      <c r="I122" s="131"/>
      <c r="L122" s="135"/>
    </row>
    <row r="123" spans="3:12">
      <c r="C123" s="136"/>
      <c r="D123" s="121"/>
      <c r="E123" s="121"/>
      <c r="F123" s="51"/>
      <c r="G123" s="131"/>
      <c r="H123" s="131"/>
      <c r="I123" s="131"/>
      <c r="L123" s="135"/>
    </row>
    <row r="124" spans="3:12">
      <c r="C124" s="136"/>
      <c r="D124" s="121"/>
      <c r="E124" s="121"/>
      <c r="F124" s="51"/>
      <c r="G124" s="131"/>
      <c r="H124" s="131"/>
      <c r="I124" s="131"/>
      <c r="L124" s="135"/>
    </row>
    <row r="125" spans="3:12">
      <c r="C125" s="136"/>
      <c r="D125" s="121"/>
      <c r="E125" s="121"/>
      <c r="F125" s="51"/>
      <c r="G125" s="131"/>
      <c r="H125" s="131"/>
      <c r="I125" s="131"/>
      <c r="L125" s="135"/>
    </row>
    <row r="126" spans="3:12">
      <c r="C126" s="136"/>
      <c r="D126" s="121"/>
      <c r="E126" s="121"/>
      <c r="F126" s="51"/>
      <c r="G126" s="131"/>
      <c r="H126" s="131"/>
      <c r="I126" s="131"/>
      <c r="L126" s="135"/>
    </row>
    <row r="127" spans="3:12">
      <c r="C127" s="136"/>
      <c r="D127" s="121"/>
      <c r="E127" s="121"/>
      <c r="F127" s="51"/>
      <c r="G127" s="131"/>
      <c r="H127" s="131"/>
      <c r="I127" s="131"/>
      <c r="L127" s="135"/>
    </row>
    <row r="128" spans="3:12">
      <c r="C128" s="136"/>
      <c r="D128" s="121"/>
      <c r="E128" s="121"/>
      <c r="F128" s="51"/>
      <c r="G128" s="131"/>
      <c r="H128" s="131"/>
      <c r="I128" s="131"/>
      <c r="L128" s="135"/>
    </row>
    <row r="129" spans="3:12">
      <c r="C129" s="136"/>
      <c r="D129" s="121"/>
      <c r="E129" s="121"/>
      <c r="F129" s="51"/>
      <c r="G129" s="131"/>
      <c r="H129" s="131"/>
      <c r="I129" s="131"/>
      <c r="L129" s="135"/>
    </row>
    <row r="130" spans="3:12">
      <c r="C130" s="136"/>
      <c r="D130" s="121"/>
      <c r="E130" s="121"/>
      <c r="F130" s="51"/>
      <c r="G130" s="131"/>
      <c r="H130" s="131"/>
      <c r="I130" s="131"/>
      <c r="L130" s="135"/>
    </row>
    <row r="131" spans="3:12">
      <c r="C131" s="136"/>
      <c r="D131" s="121"/>
      <c r="E131" s="121"/>
      <c r="F131" s="51"/>
      <c r="G131" s="131"/>
      <c r="H131" s="131"/>
      <c r="I131" s="131"/>
      <c r="L131" s="135"/>
    </row>
    <row r="132" spans="3:12">
      <c r="C132" s="136"/>
      <c r="D132" s="121"/>
      <c r="E132" s="121"/>
      <c r="F132" s="51"/>
      <c r="G132" s="131"/>
      <c r="H132" s="131"/>
      <c r="I132" s="131"/>
      <c r="L132" s="135"/>
    </row>
    <row r="133" spans="3:12">
      <c r="C133" s="136"/>
      <c r="D133" s="121"/>
      <c r="E133" s="121"/>
      <c r="F133" s="51"/>
      <c r="G133" s="131"/>
      <c r="H133" s="131"/>
      <c r="I133" s="131"/>
      <c r="L133" s="135"/>
    </row>
    <row r="134" spans="3:12">
      <c r="C134" s="136"/>
      <c r="D134" s="121"/>
      <c r="E134" s="121"/>
      <c r="F134" s="51"/>
      <c r="G134" s="131"/>
      <c r="H134" s="131"/>
      <c r="I134" s="131"/>
      <c r="L134" s="135"/>
    </row>
    <row r="135" spans="3:12">
      <c r="C135" s="136"/>
      <c r="D135" s="121"/>
      <c r="E135" s="121"/>
      <c r="F135" s="51"/>
      <c r="G135" s="131"/>
      <c r="H135" s="131"/>
      <c r="I135" s="131"/>
      <c r="L135" s="135"/>
    </row>
    <row r="136" spans="3:12">
      <c r="C136" s="136"/>
      <c r="D136" s="121"/>
      <c r="E136" s="121"/>
      <c r="F136" s="51"/>
      <c r="G136" s="131"/>
      <c r="H136" s="131"/>
      <c r="I136" s="131"/>
      <c r="L136" s="135"/>
    </row>
    <row r="137" spans="3:12">
      <c r="C137" s="136"/>
      <c r="D137" s="121"/>
      <c r="E137" s="121"/>
      <c r="F137" s="51"/>
      <c r="G137" s="131"/>
      <c r="H137" s="131"/>
      <c r="I137" s="131"/>
      <c r="L137" s="135"/>
    </row>
    <row r="138" spans="3:12">
      <c r="C138" s="136"/>
      <c r="D138" s="121"/>
      <c r="E138" s="121"/>
      <c r="F138" s="51"/>
      <c r="G138" s="131"/>
      <c r="H138" s="131"/>
      <c r="I138" s="131"/>
      <c r="L138" s="135"/>
    </row>
    <row r="139" spans="3:12">
      <c r="C139" s="136"/>
      <c r="D139" s="121"/>
      <c r="E139" s="121"/>
      <c r="F139" s="51"/>
      <c r="G139" s="131"/>
      <c r="H139" s="131"/>
      <c r="I139" s="131"/>
      <c r="L139" s="135"/>
    </row>
    <row r="140" spans="3:12">
      <c r="C140" s="136"/>
      <c r="D140" s="121"/>
      <c r="E140" s="121"/>
      <c r="F140" s="51"/>
      <c r="G140" s="131"/>
      <c r="H140" s="131"/>
      <c r="I140" s="131"/>
      <c r="L140" s="135"/>
    </row>
    <row r="141" spans="3:12">
      <c r="C141" s="136"/>
      <c r="D141" s="121"/>
      <c r="E141" s="121"/>
      <c r="F141" s="51"/>
      <c r="G141" s="131"/>
      <c r="H141" s="131"/>
      <c r="I141" s="131"/>
      <c r="L141" s="135"/>
    </row>
    <row r="142" spans="3:12">
      <c r="C142" s="136"/>
      <c r="D142" s="121"/>
      <c r="E142" s="121"/>
      <c r="F142" s="51"/>
      <c r="G142" s="131"/>
      <c r="H142" s="131"/>
      <c r="I142" s="131"/>
      <c r="L142" s="135"/>
    </row>
    <row r="143" spans="3:12">
      <c r="C143" s="136"/>
      <c r="D143" s="121"/>
      <c r="E143" s="121"/>
      <c r="F143" s="51"/>
      <c r="G143" s="131"/>
      <c r="H143" s="131"/>
      <c r="I143" s="131"/>
      <c r="L143" s="135"/>
    </row>
    <row r="144" spans="3:12">
      <c r="C144" s="136"/>
      <c r="D144" s="121"/>
      <c r="E144" s="121"/>
      <c r="F144" s="51"/>
      <c r="G144" s="131"/>
      <c r="H144" s="131"/>
      <c r="I144" s="131"/>
      <c r="L144" s="135"/>
    </row>
    <row r="145" spans="3:12">
      <c r="C145" s="136"/>
      <c r="D145" s="121"/>
      <c r="E145" s="121"/>
      <c r="F145" s="51"/>
      <c r="G145" s="131"/>
      <c r="H145" s="131"/>
      <c r="I145" s="131"/>
      <c r="L145" s="135"/>
    </row>
    <row r="146" spans="3:12">
      <c r="C146" s="136"/>
      <c r="D146" s="121"/>
      <c r="E146" s="121"/>
      <c r="F146" s="51"/>
      <c r="G146" s="131"/>
      <c r="H146" s="131"/>
      <c r="I146" s="131"/>
      <c r="L146" s="135"/>
    </row>
    <row r="147" spans="3:12">
      <c r="C147" s="136"/>
      <c r="D147" s="121"/>
      <c r="E147" s="121"/>
      <c r="F147" s="51"/>
      <c r="G147" s="131"/>
      <c r="H147" s="131"/>
      <c r="I147" s="131"/>
      <c r="L147" s="135"/>
    </row>
    <row r="148" spans="3:12">
      <c r="C148" s="136"/>
      <c r="D148" s="121"/>
      <c r="E148" s="121"/>
      <c r="F148" s="51"/>
      <c r="G148" s="131"/>
      <c r="H148" s="131"/>
      <c r="I148" s="131"/>
      <c r="L148" s="135"/>
    </row>
    <row r="149" spans="3:12">
      <c r="C149" s="136"/>
      <c r="D149" s="121"/>
      <c r="E149" s="121"/>
      <c r="F149" s="51"/>
      <c r="G149" s="131"/>
      <c r="H149" s="131"/>
      <c r="I149" s="131"/>
      <c r="L149" s="135"/>
    </row>
    <row r="150" spans="3:12">
      <c r="C150" s="136"/>
      <c r="D150" s="121"/>
      <c r="E150" s="121"/>
      <c r="F150" s="51"/>
      <c r="G150" s="131"/>
      <c r="H150" s="131"/>
      <c r="I150" s="131"/>
      <c r="L150" s="135"/>
    </row>
    <row r="151" spans="3:12">
      <c r="C151" s="136"/>
      <c r="D151" s="121"/>
      <c r="E151" s="121"/>
      <c r="F151" s="51"/>
      <c r="G151" s="131"/>
      <c r="H151" s="131"/>
      <c r="I151" s="131"/>
      <c r="L151" s="135"/>
    </row>
    <row r="152" spans="3:12">
      <c r="C152" s="136"/>
      <c r="D152" s="121"/>
      <c r="E152" s="121"/>
      <c r="F152" s="51"/>
      <c r="G152" s="131"/>
      <c r="H152" s="131"/>
      <c r="I152" s="131"/>
      <c r="L152" s="135"/>
    </row>
    <row r="153" spans="3:12">
      <c r="C153" s="136"/>
      <c r="D153" s="121"/>
      <c r="E153" s="121"/>
      <c r="F153" s="51"/>
      <c r="G153" s="131"/>
      <c r="H153" s="131"/>
      <c r="I153" s="131"/>
      <c r="L153" s="135"/>
    </row>
    <row r="154" spans="3:12">
      <c r="C154" s="136"/>
      <c r="D154" s="121"/>
      <c r="E154" s="121"/>
      <c r="F154" s="51"/>
      <c r="G154" s="131"/>
      <c r="H154" s="131"/>
      <c r="I154" s="131"/>
      <c r="L154" s="135"/>
    </row>
    <row r="155" spans="3:12">
      <c r="C155" s="136"/>
      <c r="D155" s="121"/>
      <c r="E155" s="121"/>
      <c r="F155" s="51"/>
      <c r="G155" s="131"/>
      <c r="H155" s="131"/>
      <c r="I155" s="131"/>
      <c r="L155" s="135"/>
    </row>
    <row r="156" spans="3:12">
      <c r="C156" s="136"/>
      <c r="D156" s="121"/>
      <c r="E156" s="121"/>
      <c r="F156" s="51"/>
      <c r="G156" s="131"/>
      <c r="H156" s="131"/>
      <c r="I156" s="131"/>
      <c r="L156" s="135"/>
    </row>
    <row r="157" spans="3:12">
      <c r="C157" s="136"/>
      <c r="D157" s="121"/>
      <c r="E157" s="121"/>
      <c r="F157" s="51"/>
      <c r="G157" s="131"/>
      <c r="H157" s="131"/>
      <c r="I157" s="131"/>
      <c r="L157" s="135"/>
    </row>
    <row r="158" spans="3:12">
      <c r="C158" s="136"/>
      <c r="D158" s="121"/>
      <c r="E158" s="121"/>
      <c r="F158" s="51"/>
      <c r="G158" s="131"/>
      <c r="H158" s="131"/>
      <c r="I158" s="131"/>
      <c r="L158" s="135"/>
    </row>
    <row r="159" spans="3:12">
      <c r="C159" s="136"/>
      <c r="D159" s="121"/>
      <c r="E159" s="121"/>
      <c r="F159" s="51"/>
      <c r="G159" s="131"/>
      <c r="H159" s="131"/>
      <c r="I159" s="131"/>
      <c r="L159" s="135"/>
    </row>
    <row r="160" spans="3:12">
      <c r="C160" s="136"/>
      <c r="D160" s="121"/>
      <c r="E160" s="121"/>
      <c r="F160" s="51"/>
      <c r="G160" s="131"/>
      <c r="H160" s="131"/>
      <c r="I160" s="131"/>
      <c r="L160" s="135"/>
    </row>
    <row r="161" spans="3:12">
      <c r="C161" s="136"/>
      <c r="D161" s="121"/>
      <c r="E161" s="121"/>
      <c r="F161" s="51"/>
      <c r="G161" s="131"/>
      <c r="H161" s="131"/>
      <c r="I161" s="131"/>
      <c r="L161" s="135"/>
    </row>
    <row r="162" spans="3:12">
      <c r="C162" s="136"/>
      <c r="D162" s="121"/>
      <c r="E162" s="121"/>
      <c r="F162" s="51"/>
      <c r="G162" s="131"/>
      <c r="H162" s="131"/>
      <c r="I162" s="131"/>
      <c r="L162" s="135"/>
    </row>
    <row r="163" spans="3:12">
      <c r="C163" s="136"/>
      <c r="D163" s="121"/>
      <c r="E163" s="121"/>
      <c r="F163" s="51"/>
      <c r="G163" s="131"/>
      <c r="H163" s="131"/>
      <c r="I163" s="131"/>
      <c r="L163" s="135"/>
    </row>
    <row r="164" spans="3:12">
      <c r="C164" s="136"/>
      <c r="D164" s="121"/>
      <c r="E164" s="121"/>
      <c r="F164" s="51"/>
      <c r="G164" s="131"/>
      <c r="H164" s="131"/>
      <c r="I164" s="131"/>
      <c r="L164" s="135"/>
    </row>
    <row r="165" spans="3:12">
      <c r="C165" s="136"/>
      <c r="D165" s="121"/>
      <c r="E165" s="121"/>
      <c r="F165" s="51"/>
      <c r="G165" s="131"/>
      <c r="H165" s="131"/>
      <c r="I165" s="131"/>
      <c r="L165" s="135"/>
    </row>
    <row r="166" spans="3:12">
      <c r="C166" s="136"/>
      <c r="D166" s="121"/>
      <c r="E166" s="121"/>
      <c r="F166" s="51"/>
      <c r="G166" s="131"/>
      <c r="H166" s="131"/>
      <c r="I166" s="131"/>
      <c r="L166" s="135"/>
    </row>
    <row r="167" spans="3:12">
      <c r="C167" s="136"/>
      <c r="D167" s="121"/>
      <c r="E167" s="121"/>
      <c r="F167" s="51"/>
      <c r="G167" s="131"/>
      <c r="H167" s="131"/>
      <c r="I167" s="131"/>
      <c r="L167" s="135"/>
    </row>
    <row r="168" spans="3:12">
      <c r="C168" s="136"/>
      <c r="D168" s="121"/>
      <c r="E168" s="121"/>
      <c r="F168" s="51"/>
      <c r="G168" s="131"/>
      <c r="H168" s="131"/>
      <c r="I168" s="131"/>
      <c r="L168" s="135"/>
    </row>
    <row r="169" spans="3:12">
      <c r="C169" s="136"/>
      <c r="D169" s="121"/>
      <c r="E169" s="121"/>
      <c r="F169" s="51"/>
      <c r="G169" s="131"/>
      <c r="H169" s="131"/>
      <c r="I169" s="131"/>
      <c r="L169" s="135"/>
    </row>
    <row r="170" spans="3:12">
      <c r="C170" s="136"/>
      <c r="D170" s="121"/>
      <c r="E170" s="121"/>
      <c r="F170" s="51"/>
      <c r="G170" s="131"/>
      <c r="H170" s="131"/>
      <c r="I170" s="131"/>
      <c r="L170" s="135"/>
    </row>
    <row r="171" spans="3:12">
      <c r="C171" s="136"/>
      <c r="D171" s="121"/>
      <c r="E171" s="121"/>
      <c r="F171" s="51"/>
      <c r="G171" s="131"/>
      <c r="H171" s="131"/>
      <c r="I171" s="131"/>
      <c r="L171" s="135"/>
    </row>
    <row r="172" spans="3:12">
      <c r="C172" s="136"/>
      <c r="D172" s="121"/>
      <c r="E172" s="121"/>
      <c r="F172" s="51"/>
      <c r="G172" s="131"/>
      <c r="H172" s="131"/>
      <c r="I172" s="131"/>
      <c r="L172" s="135"/>
    </row>
    <row r="173" spans="3:12">
      <c r="C173" s="136"/>
      <c r="D173" s="121"/>
      <c r="E173" s="121"/>
      <c r="F173" s="51"/>
      <c r="G173" s="131"/>
      <c r="H173" s="131"/>
      <c r="I173" s="131"/>
      <c r="L173" s="135"/>
    </row>
    <row r="174" spans="3:12">
      <c r="C174" s="136"/>
      <c r="D174" s="121"/>
      <c r="E174" s="121"/>
      <c r="F174" s="51"/>
      <c r="G174" s="131"/>
      <c r="H174" s="131"/>
      <c r="I174" s="131"/>
      <c r="L174" s="135"/>
    </row>
    <row r="175" spans="3:12">
      <c r="C175" s="136"/>
      <c r="D175" s="121"/>
      <c r="E175" s="121"/>
      <c r="F175" s="51"/>
      <c r="G175" s="131"/>
      <c r="H175" s="131"/>
      <c r="I175" s="131"/>
      <c r="L175" s="135"/>
    </row>
    <row r="176" spans="3:12">
      <c r="C176" s="136"/>
      <c r="D176" s="121"/>
      <c r="E176" s="121"/>
      <c r="F176" s="51"/>
      <c r="G176" s="131"/>
      <c r="H176" s="131"/>
      <c r="I176" s="131"/>
      <c r="L176" s="135"/>
    </row>
    <row r="177" spans="3:12">
      <c r="C177" s="136"/>
      <c r="D177" s="121"/>
      <c r="E177" s="121"/>
      <c r="F177" s="51"/>
      <c r="G177" s="131"/>
      <c r="H177" s="131"/>
      <c r="I177" s="131"/>
      <c r="L177" s="135"/>
    </row>
    <row r="178" spans="3:12">
      <c r="C178" s="136"/>
      <c r="D178" s="121"/>
      <c r="E178" s="121"/>
      <c r="F178" s="51"/>
      <c r="G178" s="131"/>
      <c r="H178" s="131"/>
      <c r="I178" s="131"/>
      <c r="L178" s="135"/>
    </row>
    <row r="179" spans="3:12">
      <c r="C179" s="136"/>
      <c r="D179" s="121"/>
      <c r="E179" s="121"/>
      <c r="F179" s="51"/>
      <c r="G179" s="131"/>
      <c r="H179" s="131"/>
      <c r="I179" s="131"/>
      <c r="L179" s="135"/>
    </row>
    <row r="180" spans="3:12">
      <c r="C180" s="136"/>
      <c r="D180" s="121"/>
      <c r="E180" s="121"/>
      <c r="F180" s="51"/>
      <c r="G180" s="131"/>
      <c r="H180" s="131"/>
      <c r="I180" s="131"/>
      <c r="L180" s="135"/>
    </row>
    <row r="181" spans="3:12">
      <c r="C181" s="136"/>
      <c r="D181" s="121"/>
      <c r="E181" s="121"/>
      <c r="F181" s="51"/>
      <c r="G181" s="131"/>
      <c r="H181" s="131"/>
      <c r="I181" s="131"/>
      <c r="L181" s="135"/>
    </row>
    <row r="182" spans="3:12">
      <c r="C182" s="136"/>
      <c r="D182" s="121"/>
      <c r="E182" s="121"/>
      <c r="F182" s="51"/>
      <c r="G182" s="131"/>
      <c r="H182" s="131"/>
      <c r="I182" s="131"/>
      <c r="L182" s="135"/>
    </row>
    <row r="183" spans="3:12">
      <c r="C183" s="136"/>
      <c r="D183" s="121"/>
      <c r="E183" s="121"/>
      <c r="F183" s="51"/>
      <c r="G183" s="131"/>
      <c r="H183" s="131"/>
      <c r="I183" s="131"/>
      <c r="L183" s="135"/>
    </row>
    <row r="184" spans="3:12">
      <c r="C184" s="136"/>
      <c r="D184" s="121"/>
      <c r="E184" s="121"/>
      <c r="F184" s="51"/>
      <c r="G184" s="131"/>
      <c r="H184" s="131"/>
      <c r="I184" s="131"/>
      <c r="L184" s="135"/>
    </row>
    <row r="185" spans="3:12">
      <c r="C185" s="136"/>
      <c r="D185" s="121"/>
      <c r="E185" s="121"/>
      <c r="F185" s="51"/>
      <c r="G185" s="131"/>
      <c r="H185" s="131"/>
      <c r="I185" s="131"/>
      <c r="L185" s="135"/>
    </row>
    <row r="186" spans="3:12">
      <c r="C186" s="136"/>
      <c r="D186" s="121"/>
      <c r="E186" s="121"/>
      <c r="F186" s="51"/>
      <c r="G186" s="131"/>
      <c r="H186" s="131"/>
      <c r="I186" s="131"/>
      <c r="L186" s="135"/>
    </row>
    <row r="187" spans="3:12">
      <c r="C187" s="136"/>
      <c r="D187" s="121"/>
      <c r="E187" s="121"/>
      <c r="F187" s="51"/>
      <c r="G187" s="131"/>
      <c r="H187" s="131"/>
      <c r="I187" s="131"/>
      <c r="L187" s="135"/>
    </row>
    <row r="188" spans="3:12">
      <c r="C188" s="136"/>
      <c r="D188" s="121"/>
      <c r="E188" s="121"/>
      <c r="F188" s="51"/>
      <c r="G188" s="131"/>
      <c r="H188" s="131"/>
      <c r="I188" s="131"/>
      <c r="L188" s="135"/>
    </row>
    <row r="189" spans="3:12">
      <c r="C189" s="136"/>
      <c r="D189" s="121"/>
      <c r="E189" s="121"/>
      <c r="F189" s="51"/>
      <c r="G189" s="131"/>
      <c r="H189" s="131"/>
      <c r="I189" s="131"/>
      <c r="L189" s="135"/>
    </row>
    <row r="190" spans="3:12">
      <c r="C190" s="136"/>
      <c r="D190" s="121"/>
      <c r="E190" s="121"/>
      <c r="F190" s="51"/>
      <c r="G190" s="131"/>
      <c r="H190" s="131"/>
      <c r="I190" s="131"/>
      <c r="L190" s="135"/>
    </row>
    <row r="191" spans="3:12">
      <c r="C191" s="136"/>
      <c r="D191" s="121"/>
      <c r="E191" s="121"/>
      <c r="F191" s="51"/>
      <c r="G191" s="131"/>
      <c r="H191" s="131"/>
      <c r="I191" s="131"/>
      <c r="L191" s="135"/>
    </row>
    <row r="192" spans="3:12">
      <c r="C192" s="136"/>
      <c r="D192" s="121"/>
      <c r="E192" s="121"/>
      <c r="F192" s="51"/>
      <c r="G192" s="131"/>
      <c r="H192" s="131"/>
      <c r="I192" s="131"/>
      <c r="L192" s="135"/>
    </row>
    <row r="193" spans="3:12">
      <c r="C193" s="136"/>
      <c r="D193" s="121"/>
      <c r="E193" s="121"/>
      <c r="F193" s="51"/>
      <c r="G193" s="131"/>
      <c r="H193" s="131"/>
      <c r="I193" s="131"/>
      <c r="L193" s="135"/>
    </row>
    <row r="194" spans="3:12">
      <c r="C194" s="136"/>
      <c r="D194" s="121"/>
      <c r="E194" s="121"/>
      <c r="F194" s="51"/>
      <c r="G194" s="131"/>
      <c r="H194" s="131"/>
      <c r="I194" s="131"/>
      <c r="L194" s="135"/>
    </row>
    <row r="195" spans="3:12">
      <c r="C195" s="136"/>
      <c r="D195" s="121"/>
      <c r="E195" s="121"/>
      <c r="F195" s="51"/>
      <c r="G195" s="131"/>
      <c r="H195" s="131"/>
      <c r="I195" s="131"/>
      <c r="L195" s="135"/>
    </row>
    <row r="196" spans="3:12">
      <c r="C196" s="136"/>
      <c r="D196" s="121"/>
      <c r="E196" s="121"/>
      <c r="F196" s="51"/>
      <c r="G196" s="131"/>
      <c r="H196" s="131"/>
      <c r="I196" s="131"/>
      <c r="L196" s="135"/>
    </row>
    <row r="197" spans="3:12">
      <c r="C197" s="136"/>
      <c r="D197" s="121"/>
      <c r="E197" s="121"/>
      <c r="F197" s="51"/>
      <c r="G197" s="131"/>
      <c r="H197" s="131"/>
      <c r="I197" s="131"/>
      <c r="L197" s="135"/>
    </row>
    <row r="198" spans="3:12">
      <c r="C198" s="136"/>
      <c r="D198" s="121"/>
      <c r="E198" s="121"/>
      <c r="F198" s="51"/>
      <c r="G198" s="131"/>
      <c r="H198" s="131"/>
      <c r="I198" s="131"/>
      <c r="L198" s="135"/>
    </row>
    <row r="199" spans="3:12">
      <c r="C199" s="136"/>
      <c r="D199" s="121"/>
      <c r="E199" s="121"/>
      <c r="F199" s="51"/>
      <c r="G199" s="131"/>
      <c r="H199" s="131"/>
      <c r="I199" s="131"/>
      <c r="L199" s="135"/>
    </row>
    <row r="200" spans="3:12">
      <c r="C200" s="136"/>
      <c r="D200" s="121"/>
      <c r="E200" s="121"/>
      <c r="F200" s="51"/>
      <c r="G200" s="131"/>
      <c r="H200" s="131"/>
      <c r="I200" s="131"/>
      <c r="L200" s="135"/>
    </row>
    <row r="201" spans="3:12">
      <c r="C201" s="136"/>
      <c r="D201" s="121"/>
      <c r="E201" s="121"/>
      <c r="F201" s="51"/>
      <c r="G201" s="131"/>
      <c r="H201" s="131"/>
      <c r="I201" s="131"/>
      <c r="L201" s="135"/>
    </row>
    <row r="202" spans="3:12">
      <c r="C202" s="136"/>
      <c r="D202" s="121"/>
      <c r="E202" s="121"/>
      <c r="F202" s="51"/>
      <c r="G202" s="131"/>
      <c r="H202" s="131"/>
      <c r="I202" s="131"/>
      <c r="L202" s="135"/>
    </row>
    <row r="203" spans="3:12">
      <c r="C203" s="136"/>
      <c r="D203" s="121"/>
      <c r="E203" s="121"/>
      <c r="F203" s="51"/>
      <c r="G203" s="131"/>
      <c r="H203" s="131"/>
      <c r="I203" s="131"/>
      <c r="L203" s="135"/>
    </row>
    <row r="204" spans="3:12">
      <c r="C204" s="136"/>
      <c r="D204" s="121"/>
      <c r="E204" s="121"/>
      <c r="F204" s="51"/>
      <c r="G204" s="131"/>
      <c r="H204" s="131"/>
      <c r="I204" s="131"/>
      <c r="L204" s="135"/>
    </row>
    <row r="205" spans="3:12">
      <c r="C205" s="136"/>
      <c r="D205" s="121"/>
      <c r="E205" s="121"/>
      <c r="F205" s="51"/>
      <c r="G205" s="131"/>
      <c r="H205" s="131"/>
      <c r="I205" s="131"/>
      <c r="L205" s="135"/>
    </row>
    <row r="206" spans="3:12">
      <c r="C206" s="136"/>
      <c r="D206" s="121"/>
      <c r="E206" s="121"/>
      <c r="F206" s="51"/>
      <c r="G206" s="131"/>
      <c r="H206" s="131"/>
      <c r="I206" s="131"/>
      <c r="L206" s="135"/>
    </row>
    <row r="207" spans="3:12">
      <c r="C207" s="136"/>
      <c r="D207" s="121"/>
      <c r="E207" s="121"/>
      <c r="F207" s="51"/>
      <c r="G207" s="131"/>
      <c r="H207" s="131"/>
      <c r="I207" s="131"/>
      <c r="L207" s="135"/>
    </row>
    <row r="208" spans="3:12">
      <c r="C208" s="136"/>
      <c r="D208" s="121"/>
      <c r="E208" s="121"/>
      <c r="F208" s="51"/>
      <c r="G208" s="131"/>
      <c r="H208" s="131"/>
      <c r="I208" s="131"/>
      <c r="L208" s="135"/>
    </row>
    <row r="209" spans="3:12">
      <c r="C209" s="136"/>
      <c r="D209" s="121"/>
      <c r="E209" s="121"/>
      <c r="F209" s="51"/>
      <c r="G209" s="131"/>
      <c r="H209" s="131"/>
      <c r="I209" s="131"/>
      <c r="L209" s="135"/>
    </row>
    <row r="210" spans="3:12">
      <c r="C210" s="136"/>
      <c r="D210" s="121"/>
      <c r="E210" s="121"/>
      <c r="F210" s="51"/>
      <c r="G210" s="131"/>
      <c r="H210" s="131"/>
      <c r="I210" s="131"/>
      <c r="L210" s="135"/>
    </row>
    <row r="211" spans="3:12">
      <c r="C211" s="136"/>
      <c r="D211" s="121"/>
      <c r="E211" s="121"/>
      <c r="F211" s="51"/>
      <c r="G211" s="131"/>
      <c r="H211" s="131"/>
      <c r="I211" s="131"/>
      <c r="L211" s="135"/>
    </row>
    <row r="212" spans="3:12">
      <c r="C212" s="136"/>
      <c r="D212" s="121"/>
      <c r="E212" s="121"/>
      <c r="F212" s="51"/>
      <c r="G212" s="131"/>
      <c r="H212" s="131"/>
      <c r="I212" s="131"/>
      <c r="L212" s="135"/>
    </row>
    <row r="213" spans="3:12">
      <c r="C213" s="136"/>
      <c r="D213" s="121"/>
      <c r="E213" s="121"/>
      <c r="F213" s="51"/>
      <c r="G213" s="131"/>
      <c r="H213" s="131"/>
      <c r="I213" s="131"/>
      <c r="L213" s="135"/>
    </row>
    <row r="214" spans="3:12">
      <c r="C214" s="136"/>
      <c r="D214" s="121"/>
      <c r="E214" s="121"/>
      <c r="F214" s="51"/>
      <c r="G214" s="131"/>
      <c r="H214" s="131"/>
      <c r="I214" s="131"/>
      <c r="L214" s="135"/>
    </row>
    <row r="215" spans="3:12">
      <c r="C215" s="136"/>
      <c r="D215" s="121"/>
      <c r="E215" s="121"/>
      <c r="F215" s="51"/>
      <c r="G215" s="131"/>
      <c r="H215" s="131"/>
      <c r="I215" s="131"/>
      <c r="L215" s="135"/>
    </row>
    <row r="216" spans="3:12">
      <c r="C216" s="136"/>
      <c r="D216" s="121"/>
      <c r="E216" s="121"/>
      <c r="F216" s="51"/>
      <c r="G216" s="131"/>
      <c r="H216" s="131"/>
      <c r="I216" s="131"/>
      <c r="L216" s="135"/>
    </row>
    <row r="217" spans="3:12">
      <c r="C217" s="136"/>
      <c r="D217" s="121"/>
      <c r="E217" s="121"/>
      <c r="F217" s="51"/>
      <c r="G217" s="131"/>
      <c r="H217" s="131"/>
      <c r="I217" s="131"/>
      <c r="L217" s="135"/>
    </row>
    <row r="218" spans="3:12">
      <c r="C218" s="136"/>
      <c r="D218" s="121"/>
      <c r="E218" s="121"/>
      <c r="F218" s="51"/>
      <c r="G218" s="131"/>
      <c r="H218" s="131"/>
      <c r="I218" s="131"/>
      <c r="L218" s="135"/>
    </row>
    <row r="219" spans="3:12">
      <c r="C219" s="136"/>
      <c r="D219" s="121"/>
      <c r="E219" s="121"/>
      <c r="F219" s="51"/>
      <c r="G219" s="131"/>
      <c r="H219" s="131"/>
      <c r="I219" s="131"/>
      <c r="L219" s="135"/>
    </row>
    <row r="220" spans="3:12">
      <c r="C220" s="136"/>
      <c r="D220" s="121"/>
      <c r="E220" s="121"/>
      <c r="F220" s="51"/>
      <c r="G220" s="131"/>
      <c r="H220" s="131"/>
      <c r="I220" s="131"/>
      <c r="L220" s="135"/>
    </row>
    <row r="221" spans="3:12">
      <c r="C221" s="136"/>
      <c r="D221" s="121"/>
      <c r="E221" s="121"/>
      <c r="F221" s="51"/>
      <c r="G221" s="131"/>
      <c r="H221" s="131"/>
      <c r="I221" s="131"/>
      <c r="L221" s="135"/>
    </row>
    <row r="222" spans="3:12">
      <c r="C222" s="136"/>
      <c r="D222" s="121"/>
      <c r="E222" s="121"/>
      <c r="F222" s="51"/>
      <c r="G222" s="131"/>
      <c r="H222" s="131"/>
      <c r="I222" s="131"/>
      <c r="L222" s="135"/>
    </row>
    <row r="223" spans="3:12">
      <c r="C223" s="136"/>
      <c r="D223" s="121"/>
      <c r="E223" s="121"/>
      <c r="F223" s="51"/>
      <c r="G223" s="131"/>
      <c r="H223" s="131"/>
      <c r="I223" s="131"/>
      <c r="L223" s="135"/>
    </row>
    <row r="224" spans="3:12">
      <c r="C224" s="136"/>
      <c r="D224" s="121"/>
      <c r="E224" s="121"/>
      <c r="F224" s="51"/>
      <c r="G224" s="131"/>
      <c r="H224" s="131"/>
      <c r="I224" s="131"/>
      <c r="L224" s="135"/>
    </row>
    <row r="225" spans="3:12">
      <c r="C225" s="136"/>
      <c r="D225" s="121"/>
      <c r="E225" s="121"/>
      <c r="F225" s="51"/>
      <c r="G225" s="131"/>
      <c r="H225" s="131"/>
      <c r="I225" s="131"/>
      <c r="L225" s="135"/>
    </row>
    <row r="226" spans="3:12">
      <c r="C226" s="136"/>
      <c r="D226" s="121"/>
      <c r="E226" s="121"/>
      <c r="F226" s="51"/>
      <c r="G226" s="131"/>
      <c r="H226" s="131"/>
      <c r="I226" s="131"/>
      <c r="L226" s="135"/>
    </row>
    <row r="227" spans="3:12">
      <c r="C227" s="136"/>
      <c r="D227" s="121"/>
      <c r="E227" s="121"/>
      <c r="F227" s="51"/>
      <c r="G227" s="131"/>
      <c r="H227" s="131"/>
      <c r="I227" s="131"/>
      <c r="L227" s="135"/>
    </row>
    <row r="228" spans="3:12">
      <c r="C228" s="136"/>
      <c r="D228" s="121"/>
      <c r="E228" s="121"/>
      <c r="F228" s="51"/>
      <c r="G228" s="131"/>
      <c r="H228" s="131"/>
      <c r="I228" s="131"/>
      <c r="L228" s="135"/>
    </row>
    <row r="229" spans="3:12">
      <c r="C229" s="136"/>
      <c r="D229" s="121"/>
      <c r="E229" s="121"/>
      <c r="F229" s="51"/>
      <c r="G229" s="131"/>
      <c r="H229" s="131"/>
      <c r="I229" s="131"/>
      <c r="L229" s="135"/>
    </row>
    <row r="230" spans="3:12">
      <c r="C230" s="136"/>
      <c r="D230" s="121"/>
      <c r="E230" s="121"/>
      <c r="F230" s="51"/>
      <c r="G230" s="131"/>
      <c r="H230" s="131"/>
      <c r="I230" s="131"/>
      <c r="L230" s="135"/>
    </row>
    <row r="231" spans="3:12">
      <c r="C231" s="136"/>
      <c r="D231" s="121"/>
      <c r="E231" s="121"/>
      <c r="F231" s="51"/>
      <c r="G231" s="131"/>
      <c r="H231" s="131"/>
      <c r="I231" s="131"/>
      <c r="L231" s="135"/>
    </row>
    <row r="232" spans="3:12">
      <c r="C232" s="136"/>
      <c r="D232" s="121"/>
      <c r="E232" s="121"/>
      <c r="F232" s="51"/>
      <c r="G232" s="131"/>
      <c r="H232" s="131"/>
      <c r="I232" s="131"/>
      <c r="L232" s="135"/>
    </row>
    <row r="233" spans="3:12">
      <c r="C233" s="136"/>
      <c r="D233" s="121"/>
      <c r="E233" s="121"/>
      <c r="F233" s="51"/>
      <c r="G233" s="131"/>
      <c r="H233" s="131"/>
      <c r="I233" s="131"/>
      <c r="L233" s="135"/>
    </row>
    <row r="234" spans="3:12">
      <c r="C234" s="136"/>
      <c r="D234" s="121"/>
      <c r="E234" s="121"/>
      <c r="F234" s="51"/>
      <c r="G234" s="131"/>
      <c r="H234" s="131"/>
      <c r="I234" s="131"/>
      <c r="L234" s="135"/>
    </row>
    <row r="235" spans="3:12">
      <c r="C235" s="136"/>
      <c r="D235" s="121"/>
      <c r="E235" s="121"/>
      <c r="F235" s="51"/>
      <c r="G235" s="131"/>
      <c r="H235" s="131"/>
      <c r="I235" s="131"/>
      <c r="L235" s="135"/>
    </row>
    <row r="236" spans="3:12">
      <c r="C236" s="136"/>
      <c r="D236" s="121"/>
      <c r="E236" s="121"/>
      <c r="F236" s="51"/>
      <c r="G236" s="131"/>
      <c r="H236" s="131"/>
      <c r="I236" s="131"/>
      <c r="L236" s="135"/>
    </row>
    <row r="237" spans="3:12">
      <c r="C237" s="136"/>
      <c r="D237" s="121"/>
      <c r="E237" s="121"/>
      <c r="F237" s="51"/>
      <c r="G237" s="131"/>
      <c r="H237" s="131"/>
      <c r="I237" s="131"/>
      <c r="L237" s="135"/>
    </row>
    <row r="238" spans="3:12">
      <c r="C238" s="136"/>
      <c r="D238" s="121"/>
      <c r="E238" s="121"/>
      <c r="F238" s="51"/>
      <c r="G238" s="131"/>
      <c r="H238" s="131"/>
      <c r="I238" s="131"/>
      <c r="L238" s="135"/>
    </row>
    <row r="239" spans="3:12">
      <c r="C239" s="136"/>
      <c r="D239" s="121"/>
      <c r="E239" s="121"/>
      <c r="F239" s="51"/>
      <c r="G239" s="131"/>
      <c r="H239" s="131"/>
      <c r="I239" s="131"/>
      <c r="L239" s="135"/>
    </row>
    <row r="240" spans="3:12">
      <c r="C240" s="136"/>
      <c r="D240" s="121"/>
      <c r="E240" s="121"/>
      <c r="F240" s="51"/>
      <c r="G240" s="131"/>
      <c r="H240" s="131"/>
      <c r="I240" s="131"/>
      <c r="L240" s="135"/>
    </row>
    <row r="241" spans="3:12">
      <c r="C241" s="136"/>
      <c r="D241" s="121"/>
      <c r="E241" s="121"/>
      <c r="F241" s="51"/>
      <c r="G241" s="131"/>
      <c r="H241" s="131"/>
      <c r="I241" s="131"/>
      <c r="L241" s="135"/>
    </row>
    <row r="242" spans="3:12">
      <c r="C242" s="136"/>
      <c r="D242" s="121"/>
      <c r="E242" s="121"/>
      <c r="F242" s="51"/>
      <c r="G242" s="131"/>
      <c r="H242" s="131"/>
      <c r="I242" s="131"/>
      <c r="L242" s="135"/>
    </row>
    <row r="243" spans="3:12">
      <c r="C243" s="136"/>
      <c r="D243" s="121"/>
      <c r="E243" s="121"/>
      <c r="F243" s="51"/>
      <c r="G243" s="131"/>
      <c r="H243" s="131"/>
      <c r="I243" s="131"/>
      <c r="L243" s="135"/>
    </row>
    <row r="244" spans="3:12">
      <c r="C244" s="136"/>
      <c r="D244" s="121"/>
      <c r="E244" s="121"/>
      <c r="F244" s="51"/>
      <c r="G244" s="131"/>
      <c r="H244" s="131"/>
      <c r="I244" s="131"/>
      <c r="L244" s="135"/>
    </row>
    <row r="245" spans="3:12">
      <c r="C245" s="136"/>
      <c r="D245" s="121"/>
      <c r="E245" s="121"/>
      <c r="F245" s="51"/>
      <c r="G245" s="131"/>
      <c r="H245" s="131"/>
      <c r="I245" s="131"/>
      <c r="L245" s="135"/>
    </row>
    <row r="246" spans="3:12">
      <c r="C246" s="136"/>
      <c r="D246" s="121"/>
      <c r="E246" s="121"/>
      <c r="F246" s="51"/>
      <c r="G246" s="131"/>
      <c r="H246" s="131"/>
      <c r="I246" s="131"/>
      <c r="L246" s="135"/>
    </row>
    <row r="247" spans="3:12">
      <c r="C247" s="136"/>
      <c r="D247" s="121"/>
      <c r="E247" s="121"/>
      <c r="F247" s="51"/>
      <c r="G247" s="131"/>
      <c r="H247" s="131"/>
      <c r="I247" s="131"/>
      <c r="L247" s="135"/>
    </row>
    <row r="248" spans="3:12">
      <c r="C248" s="136"/>
      <c r="D248" s="121"/>
      <c r="E248" s="121"/>
      <c r="F248" s="51"/>
      <c r="G248" s="131"/>
      <c r="H248" s="131"/>
      <c r="I248" s="131"/>
      <c r="L248" s="135"/>
    </row>
    <row r="249" spans="3:12">
      <c r="C249" s="136"/>
      <c r="D249" s="121"/>
      <c r="E249" s="121"/>
      <c r="F249" s="51"/>
      <c r="G249" s="131"/>
      <c r="H249" s="131"/>
      <c r="I249" s="131"/>
      <c r="L249" s="135"/>
    </row>
    <row r="250" spans="3:12">
      <c r="C250" s="136"/>
      <c r="D250" s="121"/>
      <c r="E250" s="121"/>
      <c r="F250" s="51"/>
      <c r="G250" s="131"/>
      <c r="H250" s="131"/>
      <c r="I250" s="131"/>
      <c r="L250" s="135"/>
    </row>
    <row r="251" spans="3:12">
      <c r="C251" s="136"/>
      <c r="D251" s="121"/>
      <c r="E251" s="121"/>
      <c r="F251" s="51"/>
      <c r="G251" s="131"/>
      <c r="H251" s="131"/>
      <c r="I251" s="131"/>
      <c r="L251" s="135"/>
    </row>
    <row r="252" spans="3:12">
      <c r="C252" s="136"/>
      <c r="D252" s="121"/>
      <c r="E252" s="121"/>
      <c r="F252" s="51"/>
      <c r="G252" s="131"/>
      <c r="H252" s="131"/>
      <c r="I252" s="131"/>
      <c r="L252" s="135"/>
    </row>
    <row r="253" spans="3:12">
      <c r="C253" s="136"/>
      <c r="D253" s="121"/>
      <c r="E253" s="121"/>
      <c r="F253" s="51"/>
      <c r="G253" s="131"/>
      <c r="H253" s="131"/>
      <c r="I253" s="131"/>
      <c r="L253" s="135"/>
    </row>
    <row r="254" spans="3:12">
      <c r="C254" s="136"/>
      <c r="D254" s="121"/>
      <c r="E254" s="121"/>
      <c r="F254" s="51"/>
      <c r="G254" s="131"/>
      <c r="H254" s="131"/>
      <c r="I254" s="131"/>
      <c r="L254" s="135"/>
    </row>
    <row r="255" spans="3:12">
      <c r="C255" s="136"/>
      <c r="D255" s="121"/>
      <c r="E255" s="121"/>
      <c r="F255" s="51"/>
      <c r="G255" s="131"/>
      <c r="H255" s="131"/>
      <c r="I255" s="131"/>
      <c r="L255" s="135"/>
    </row>
    <row r="256" spans="3:12">
      <c r="C256" s="136"/>
      <c r="D256" s="121"/>
      <c r="E256" s="121"/>
      <c r="F256" s="51"/>
      <c r="G256" s="131"/>
      <c r="H256" s="131"/>
      <c r="I256" s="131"/>
      <c r="L256" s="135"/>
    </row>
    <row r="257" spans="3:12">
      <c r="C257" s="136"/>
      <c r="D257" s="121"/>
      <c r="E257" s="121"/>
      <c r="F257" s="51"/>
      <c r="G257" s="131"/>
      <c r="H257" s="131"/>
      <c r="I257" s="131"/>
      <c r="L257" s="135"/>
    </row>
    <row r="258" spans="3:12">
      <c r="C258" s="136"/>
      <c r="D258" s="121"/>
      <c r="E258" s="121"/>
      <c r="F258" s="51"/>
      <c r="G258" s="131"/>
      <c r="H258" s="131"/>
      <c r="I258" s="131"/>
      <c r="L258" s="135"/>
    </row>
    <row r="259" spans="3:12">
      <c r="C259" s="136"/>
      <c r="D259" s="121"/>
      <c r="E259" s="121"/>
      <c r="F259" s="51"/>
      <c r="G259" s="131"/>
      <c r="H259" s="131"/>
      <c r="I259" s="131"/>
      <c r="L259" s="135"/>
    </row>
    <row r="260" spans="3:12">
      <c r="C260" s="136"/>
      <c r="D260" s="121"/>
      <c r="E260" s="121"/>
      <c r="F260" s="51"/>
      <c r="G260" s="131"/>
      <c r="H260" s="131"/>
      <c r="I260" s="131"/>
      <c r="L260" s="135"/>
    </row>
    <row r="261" spans="3:12">
      <c r="C261" s="136"/>
      <c r="D261" s="121"/>
      <c r="E261" s="121"/>
      <c r="F261" s="51"/>
      <c r="G261" s="131"/>
      <c r="H261" s="131"/>
      <c r="I261" s="131"/>
      <c r="L261" s="135"/>
    </row>
    <row r="262" spans="3:12">
      <c r="C262" s="136"/>
      <c r="D262" s="121"/>
      <c r="E262" s="121"/>
      <c r="F262" s="51"/>
      <c r="G262" s="131"/>
      <c r="H262" s="131"/>
      <c r="I262" s="131"/>
      <c r="L262" s="135"/>
    </row>
    <row r="263" spans="3:12">
      <c r="C263" s="136"/>
      <c r="D263" s="121"/>
      <c r="E263" s="121"/>
      <c r="F263" s="51"/>
      <c r="G263" s="131"/>
      <c r="H263" s="131"/>
      <c r="I263" s="131"/>
      <c r="L263" s="135"/>
    </row>
    <row r="264" spans="3:12">
      <c r="C264" s="136"/>
      <c r="D264" s="121"/>
      <c r="E264" s="121"/>
      <c r="F264" s="51"/>
      <c r="G264" s="131"/>
      <c r="H264" s="131"/>
      <c r="I264" s="131"/>
      <c r="L264" s="135"/>
    </row>
    <row r="265" spans="3:12">
      <c r="C265" s="136"/>
      <c r="D265" s="121"/>
      <c r="E265" s="121"/>
      <c r="F265" s="51"/>
      <c r="G265" s="131"/>
      <c r="H265" s="131"/>
      <c r="I265" s="131"/>
      <c r="L265" s="135"/>
    </row>
    <row r="266" spans="3:12">
      <c r="C266" s="136"/>
      <c r="D266" s="121"/>
      <c r="E266" s="121"/>
      <c r="F266" s="51"/>
      <c r="G266" s="131"/>
      <c r="H266" s="131"/>
      <c r="I266" s="131"/>
      <c r="L266" s="135"/>
    </row>
    <row r="267" spans="3:12">
      <c r="C267" s="136"/>
      <c r="D267" s="121"/>
      <c r="E267" s="121"/>
      <c r="F267" s="51"/>
      <c r="G267" s="131"/>
      <c r="H267" s="131"/>
      <c r="I267" s="131"/>
      <c r="L267" s="135"/>
    </row>
    <row r="268" spans="3:12">
      <c r="C268" s="136"/>
      <c r="D268" s="121"/>
      <c r="E268" s="121"/>
      <c r="F268" s="51"/>
      <c r="G268" s="131"/>
      <c r="H268" s="131"/>
      <c r="I268" s="131"/>
      <c r="L268" s="135"/>
    </row>
    <row r="269" spans="3:12">
      <c r="C269" s="136"/>
      <c r="D269" s="121"/>
      <c r="E269" s="121"/>
      <c r="F269" s="51"/>
      <c r="G269" s="131"/>
      <c r="H269" s="131"/>
      <c r="I269" s="131"/>
      <c r="L269" s="135"/>
    </row>
    <row r="270" spans="3:12">
      <c r="C270" s="136"/>
      <c r="D270" s="121"/>
      <c r="E270" s="121"/>
      <c r="F270" s="51"/>
      <c r="G270" s="131"/>
      <c r="H270" s="131"/>
      <c r="I270" s="131"/>
      <c r="L270" s="135"/>
    </row>
    <row r="271" spans="3:12">
      <c r="C271" s="136"/>
      <c r="D271" s="121"/>
      <c r="E271" s="121"/>
      <c r="F271" s="51"/>
      <c r="G271" s="131"/>
      <c r="H271" s="131"/>
      <c r="I271" s="131"/>
      <c r="L271" s="135"/>
    </row>
    <row r="272" spans="3:12">
      <c r="C272" s="136"/>
      <c r="D272" s="121"/>
      <c r="E272" s="121"/>
      <c r="F272" s="51"/>
      <c r="G272" s="131"/>
      <c r="H272" s="131"/>
      <c r="I272" s="131"/>
      <c r="L272" s="135"/>
    </row>
    <row r="273" spans="3:12">
      <c r="C273" s="136"/>
      <c r="D273" s="121"/>
      <c r="E273" s="121"/>
      <c r="F273" s="51"/>
      <c r="G273" s="131"/>
      <c r="H273" s="131"/>
      <c r="I273" s="131"/>
      <c r="L273" s="135"/>
    </row>
    <row r="274" spans="3:12">
      <c r="C274" s="136"/>
      <c r="D274" s="121"/>
      <c r="E274" s="121"/>
      <c r="F274" s="51"/>
      <c r="G274" s="131"/>
      <c r="H274" s="131"/>
      <c r="I274" s="131"/>
      <c r="L274" s="135"/>
    </row>
    <row r="275" spans="3:12">
      <c r="C275" s="136"/>
      <c r="D275" s="121"/>
      <c r="E275" s="121"/>
      <c r="F275" s="51"/>
      <c r="G275" s="131"/>
      <c r="H275" s="131"/>
      <c r="I275" s="131"/>
      <c r="L275" s="135"/>
    </row>
    <row r="276" spans="3:12">
      <c r="C276" s="136"/>
      <c r="D276" s="121"/>
      <c r="E276" s="121"/>
      <c r="F276" s="51"/>
      <c r="G276" s="131"/>
      <c r="H276" s="131"/>
      <c r="I276" s="131"/>
      <c r="L276" s="135"/>
    </row>
    <row r="277" spans="3:12">
      <c r="C277" s="136"/>
      <c r="D277" s="121"/>
      <c r="E277" s="121"/>
      <c r="F277" s="51"/>
      <c r="G277" s="131"/>
      <c r="H277" s="131"/>
      <c r="I277" s="131"/>
      <c r="L277" s="135"/>
    </row>
    <row r="278" spans="3:12">
      <c r="C278" s="136"/>
      <c r="D278" s="121"/>
      <c r="E278" s="121"/>
      <c r="F278" s="51"/>
      <c r="G278" s="131"/>
      <c r="H278" s="131"/>
      <c r="I278" s="131"/>
      <c r="L278" s="135"/>
    </row>
    <row r="279" spans="3:12">
      <c r="C279" s="136"/>
      <c r="D279" s="121"/>
      <c r="E279" s="121"/>
      <c r="F279" s="51"/>
      <c r="G279" s="131"/>
      <c r="H279" s="131"/>
      <c r="I279" s="131"/>
      <c r="L279" s="135"/>
    </row>
    <row r="280" spans="3:12">
      <c r="C280" s="136"/>
      <c r="D280" s="121"/>
      <c r="E280" s="121"/>
      <c r="F280" s="51"/>
      <c r="G280" s="131"/>
      <c r="H280" s="131"/>
      <c r="I280" s="131"/>
      <c r="L280" s="135"/>
    </row>
    <row r="281" spans="3:12">
      <c r="C281" s="136"/>
      <c r="D281" s="121"/>
      <c r="E281" s="121"/>
      <c r="F281" s="51"/>
      <c r="G281" s="131"/>
      <c r="H281" s="131"/>
      <c r="I281" s="131"/>
      <c r="L281" s="135"/>
    </row>
    <row r="282" spans="3:12">
      <c r="C282" s="136"/>
      <c r="D282" s="121"/>
      <c r="E282" s="121"/>
      <c r="F282" s="51"/>
      <c r="G282" s="131"/>
      <c r="H282" s="131"/>
      <c r="I282" s="131"/>
      <c r="L282" s="135"/>
    </row>
    <row r="283" spans="3:12">
      <c r="C283" s="136"/>
      <c r="D283" s="121"/>
      <c r="E283" s="121"/>
      <c r="F283" s="51"/>
      <c r="G283" s="131"/>
      <c r="H283" s="131"/>
      <c r="I283" s="131"/>
      <c r="L283" s="135"/>
    </row>
    <row r="284" spans="3:12">
      <c r="C284" s="136"/>
      <c r="D284" s="121"/>
      <c r="E284" s="121"/>
      <c r="F284" s="51"/>
      <c r="G284" s="131"/>
      <c r="H284" s="131"/>
      <c r="I284" s="131"/>
      <c r="L284" s="135"/>
    </row>
    <row r="285" spans="3:12">
      <c r="C285" s="136"/>
      <c r="D285" s="121"/>
      <c r="E285" s="121"/>
      <c r="F285" s="51"/>
      <c r="G285" s="131"/>
      <c r="H285" s="131"/>
      <c r="I285" s="131"/>
      <c r="L285" s="135"/>
    </row>
    <row r="286" spans="3:12">
      <c r="C286" s="136"/>
      <c r="D286" s="121"/>
      <c r="E286" s="121"/>
      <c r="F286" s="51"/>
      <c r="G286" s="131"/>
      <c r="H286" s="131"/>
      <c r="I286" s="131"/>
      <c r="L286" s="135"/>
    </row>
    <row r="287" spans="3:12">
      <c r="C287" s="136"/>
      <c r="D287" s="121"/>
      <c r="E287" s="121"/>
      <c r="F287" s="51"/>
      <c r="G287" s="131"/>
      <c r="H287" s="131"/>
      <c r="I287" s="131"/>
      <c r="L287" s="135"/>
    </row>
    <row r="288" spans="3:12">
      <c r="C288" s="136"/>
      <c r="D288" s="121"/>
      <c r="E288" s="121"/>
      <c r="F288" s="51"/>
      <c r="G288" s="131"/>
      <c r="H288" s="131"/>
      <c r="I288" s="131"/>
      <c r="L288" s="135"/>
    </row>
    <row r="289" spans="3:12">
      <c r="C289" s="136"/>
      <c r="D289" s="121"/>
      <c r="E289" s="121"/>
      <c r="F289" s="51"/>
      <c r="G289" s="131"/>
      <c r="H289" s="131"/>
      <c r="I289" s="131"/>
      <c r="L289" s="135"/>
    </row>
    <row r="290" spans="3:12">
      <c r="C290" s="136"/>
      <c r="D290" s="121"/>
      <c r="E290" s="121"/>
      <c r="F290" s="51"/>
      <c r="G290" s="131"/>
      <c r="H290" s="131"/>
      <c r="I290" s="131"/>
      <c r="L290" s="135"/>
    </row>
    <row r="291" spans="3:12">
      <c r="C291" s="136"/>
      <c r="D291" s="121"/>
      <c r="E291" s="121"/>
      <c r="F291" s="51"/>
      <c r="G291" s="131"/>
      <c r="H291" s="131"/>
      <c r="I291" s="131"/>
      <c r="L291" s="135"/>
    </row>
    <row r="292" spans="3:12">
      <c r="C292" s="136"/>
      <c r="D292" s="121"/>
      <c r="E292" s="121"/>
      <c r="F292" s="51"/>
      <c r="G292" s="131"/>
      <c r="H292" s="131"/>
      <c r="I292" s="131"/>
      <c r="L292" s="135"/>
    </row>
    <row r="293" spans="3:12">
      <c r="C293" s="136"/>
      <c r="D293" s="121"/>
      <c r="E293" s="121"/>
      <c r="F293" s="51"/>
      <c r="G293" s="131"/>
      <c r="H293" s="131"/>
      <c r="I293" s="131"/>
      <c r="L293" s="135"/>
    </row>
    <row r="294" spans="3:12">
      <c r="C294" s="136"/>
      <c r="D294" s="121"/>
      <c r="E294" s="121"/>
      <c r="F294" s="51"/>
      <c r="G294" s="131"/>
      <c r="H294" s="131"/>
      <c r="I294" s="131"/>
      <c r="L294" s="135"/>
    </row>
    <row r="295" spans="3:12">
      <c r="C295" s="136"/>
      <c r="D295" s="121"/>
      <c r="E295" s="121"/>
      <c r="F295" s="51"/>
      <c r="G295" s="131"/>
      <c r="H295" s="131"/>
      <c r="I295" s="131"/>
      <c r="L295" s="135"/>
    </row>
    <row r="296" spans="3:12">
      <c r="C296" s="136"/>
      <c r="D296" s="121"/>
      <c r="E296" s="121"/>
      <c r="F296" s="51"/>
      <c r="G296" s="131"/>
      <c r="H296" s="131"/>
      <c r="I296" s="131"/>
      <c r="L296" s="135"/>
    </row>
    <row r="297" spans="3:12">
      <c r="C297" s="136"/>
      <c r="D297" s="121"/>
      <c r="E297" s="121"/>
      <c r="F297" s="51"/>
      <c r="G297" s="131"/>
      <c r="H297" s="131"/>
      <c r="I297" s="131"/>
      <c r="L297" s="135"/>
    </row>
    <row r="298" spans="3:12">
      <c r="C298" s="136"/>
      <c r="D298" s="121"/>
      <c r="E298" s="121"/>
      <c r="F298" s="51"/>
      <c r="G298" s="131"/>
      <c r="H298" s="131"/>
      <c r="I298" s="131"/>
      <c r="L298" s="135"/>
    </row>
    <row r="299" spans="3:12">
      <c r="C299" s="136"/>
      <c r="D299" s="121"/>
      <c r="E299" s="121"/>
      <c r="F299" s="51"/>
      <c r="G299" s="131"/>
      <c r="H299" s="131"/>
      <c r="I299" s="131"/>
      <c r="L299" s="135"/>
    </row>
    <row r="300" spans="3:12">
      <c r="C300" s="136"/>
      <c r="D300" s="121"/>
      <c r="E300" s="121"/>
      <c r="F300" s="51"/>
      <c r="G300" s="131"/>
      <c r="H300" s="131"/>
      <c r="I300" s="131"/>
      <c r="L300" s="135"/>
    </row>
    <row r="301" spans="3:12">
      <c r="C301" s="136"/>
      <c r="D301" s="121"/>
      <c r="E301" s="121"/>
      <c r="F301" s="51"/>
      <c r="G301" s="131"/>
      <c r="H301" s="131"/>
      <c r="I301" s="131"/>
      <c r="L301" s="135"/>
    </row>
    <row r="302" spans="3:12">
      <c r="C302" s="136"/>
      <c r="D302" s="121"/>
      <c r="E302" s="121"/>
      <c r="F302" s="51"/>
      <c r="G302" s="131"/>
      <c r="H302" s="131"/>
      <c r="I302" s="131"/>
      <c r="L302" s="135"/>
    </row>
    <row r="303" spans="3:12">
      <c r="C303" s="136"/>
      <c r="D303" s="121"/>
      <c r="E303" s="121"/>
      <c r="F303" s="51"/>
      <c r="G303" s="131"/>
      <c r="H303" s="131"/>
      <c r="I303" s="131"/>
      <c r="L303" s="135"/>
    </row>
    <row r="304" spans="3:12">
      <c r="C304" s="136"/>
      <c r="D304" s="121"/>
      <c r="E304" s="121"/>
      <c r="F304" s="51"/>
      <c r="G304" s="131"/>
      <c r="H304" s="131"/>
      <c r="I304" s="131"/>
      <c r="L304" s="135"/>
    </row>
    <row r="305" spans="3:12">
      <c r="C305" s="136"/>
      <c r="D305" s="121"/>
      <c r="E305" s="121"/>
      <c r="F305" s="51"/>
      <c r="G305" s="131"/>
      <c r="H305" s="131"/>
      <c r="I305" s="131"/>
      <c r="L305" s="135"/>
    </row>
    <row r="306" spans="3:12">
      <c r="C306" s="136"/>
      <c r="D306" s="121"/>
      <c r="E306" s="121"/>
      <c r="F306" s="51"/>
      <c r="G306" s="131"/>
      <c r="H306" s="131"/>
      <c r="I306" s="131"/>
      <c r="L306" s="135"/>
    </row>
    <row r="307" spans="3:12">
      <c r="C307" s="136"/>
      <c r="D307" s="121"/>
      <c r="E307" s="121"/>
      <c r="F307" s="51"/>
      <c r="G307" s="131"/>
      <c r="H307" s="131"/>
      <c r="I307" s="131"/>
      <c r="L307" s="135"/>
    </row>
    <row r="308" spans="3:12">
      <c r="C308" s="136"/>
      <c r="D308" s="121"/>
      <c r="E308" s="121"/>
      <c r="F308" s="51"/>
      <c r="G308" s="131"/>
      <c r="H308" s="131"/>
      <c r="I308" s="131"/>
      <c r="L308" s="135"/>
    </row>
    <row r="309" spans="3:12">
      <c r="C309" s="136"/>
      <c r="D309" s="121"/>
      <c r="E309" s="121"/>
      <c r="F309" s="51"/>
      <c r="G309" s="131"/>
      <c r="H309" s="131"/>
      <c r="I309" s="131"/>
      <c r="L309" s="135"/>
    </row>
    <row r="310" spans="3:12">
      <c r="C310" s="136"/>
      <c r="D310" s="121"/>
      <c r="E310" s="121"/>
      <c r="F310" s="51"/>
      <c r="G310" s="131"/>
      <c r="H310" s="131"/>
      <c r="I310" s="131"/>
      <c r="L310" s="135"/>
    </row>
    <row r="311" spans="3:12">
      <c r="C311" s="136"/>
      <c r="D311" s="121"/>
      <c r="E311" s="121"/>
      <c r="F311" s="51"/>
      <c r="G311" s="131"/>
      <c r="H311" s="131"/>
      <c r="I311" s="131"/>
      <c r="L311" s="135"/>
    </row>
    <row r="312" spans="3:12">
      <c r="C312" s="136"/>
      <c r="D312" s="121"/>
      <c r="E312" s="121"/>
      <c r="F312" s="51"/>
      <c r="G312" s="131"/>
      <c r="H312" s="131"/>
      <c r="I312" s="131"/>
      <c r="L312" s="135"/>
    </row>
    <row r="313" spans="3:12">
      <c r="C313" s="136"/>
      <c r="D313" s="121"/>
      <c r="E313" s="121"/>
      <c r="F313" s="51"/>
      <c r="G313" s="131"/>
      <c r="H313" s="131"/>
      <c r="I313" s="131"/>
      <c r="L313" s="135"/>
    </row>
    <row r="314" spans="3:12">
      <c r="C314" s="136"/>
      <c r="D314" s="121"/>
      <c r="E314" s="121"/>
      <c r="F314" s="51"/>
      <c r="G314" s="131"/>
      <c r="H314" s="131"/>
      <c r="I314" s="131"/>
      <c r="L314" s="135"/>
    </row>
    <row r="315" spans="3:12">
      <c r="C315" s="136"/>
      <c r="D315" s="121"/>
      <c r="E315" s="121"/>
      <c r="F315" s="51"/>
      <c r="G315" s="131"/>
      <c r="H315" s="131"/>
      <c r="I315" s="131"/>
      <c r="L315" s="135"/>
    </row>
    <row r="316" spans="3:12">
      <c r="C316" s="136"/>
      <c r="D316" s="121"/>
      <c r="E316" s="121"/>
      <c r="F316" s="51"/>
      <c r="G316" s="131"/>
      <c r="H316" s="131"/>
      <c r="I316" s="131"/>
      <c r="L316" s="135"/>
    </row>
    <row r="317" spans="3:12">
      <c r="C317" s="136"/>
      <c r="D317" s="121"/>
      <c r="E317" s="121"/>
      <c r="F317" s="51"/>
      <c r="G317" s="131"/>
      <c r="H317" s="131"/>
      <c r="I317" s="131"/>
      <c r="L317" s="135"/>
    </row>
    <row r="318" spans="3:12">
      <c r="C318" s="136"/>
      <c r="D318" s="121"/>
      <c r="E318" s="121"/>
      <c r="F318" s="51"/>
      <c r="G318" s="131"/>
      <c r="H318" s="131"/>
      <c r="I318" s="131"/>
      <c r="L318" s="135"/>
    </row>
    <row r="319" spans="3:12">
      <c r="C319" s="136"/>
      <c r="D319" s="121"/>
      <c r="E319" s="121"/>
      <c r="F319" s="51"/>
      <c r="G319" s="131"/>
      <c r="H319" s="131"/>
      <c r="I319" s="131"/>
      <c r="L319" s="135"/>
    </row>
    <row r="320" spans="3:12">
      <c r="C320" s="136"/>
      <c r="D320" s="121"/>
      <c r="E320" s="121"/>
      <c r="F320" s="51"/>
      <c r="G320" s="131"/>
      <c r="H320" s="131"/>
      <c r="I320" s="131"/>
      <c r="L320" s="135"/>
    </row>
    <row r="321" spans="3:12">
      <c r="C321" s="136"/>
      <c r="D321" s="121"/>
      <c r="E321" s="121"/>
      <c r="F321" s="51"/>
      <c r="G321" s="131"/>
      <c r="H321" s="131"/>
      <c r="I321" s="131"/>
      <c r="L321" s="135"/>
    </row>
    <row r="322" spans="3:12">
      <c r="C322" s="136"/>
      <c r="D322" s="121"/>
      <c r="E322" s="121"/>
      <c r="F322" s="51"/>
      <c r="G322" s="131"/>
      <c r="H322" s="131"/>
      <c r="I322" s="131"/>
      <c r="L322" s="135"/>
    </row>
    <row r="323" spans="3:12">
      <c r="C323" s="136"/>
      <c r="D323" s="121"/>
      <c r="E323" s="121"/>
      <c r="F323" s="51"/>
      <c r="G323" s="131"/>
      <c r="H323" s="131"/>
      <c r="I323" s="131"/>
      <c r="L323" s="135"/>
    </row>
    <row r="324" spans="3:12">
      <c r="C324" s="136"/>
      <c r="D324" s="121"/>
      <c r="E324" s="121"/>
      <c r="F324" s="51"/>
      <c r="G324" s="131"/>
      <c r="H324" s="131"/>
      <c r="I324" s="131"/>
      <c r="L324" s="135"/>
    </row>
    <row r="325" spans="3:12">
      <c r="C325" s="136"/>
      <c r="D325" s="121"/>
      <c r="E325" s="121"/>
      <c r="F325" s="51"/>
      <c r="G325" s="131"/>
      <c r="H325" s="131"/>
      <c r="I325" s="131"/>
      <c r="L325" s="135"/>
    </row>
    <row r="326" spans="3:12">
      <c r="C326" s="136"/>
      <c r="D326" s="121"/>
      <c r="E326" s="121"/>
      <c r="F326" s="51"/>
      <c r="G326" s="131"/>
      <c r="H326" s="131"/>
      <c r="I326" s="131"/>
      <c r="L326" s="135"/>
    </row>
    <row r="327" spans="3:12">
      <c r="C327" s="136"/>
      <c r="D327" s="121"/>
      <c r="E327" s="121"/>
      <c r="F327" s="51"/>
      <c r="G327" s="131"/>
      <c r="H327" s="131"/>
      <c r="I327" s="131"/>
      <c r="L327" s="135"/>
    </row>
    <row r="328" spans="3:12">
      <c r="C328" s="136"/>
      <c r="D328" s="121"/>
      <c r="E328" s="121"/>
      <c r="F328" s="51"/>
      <c r="G328" s="131"/>
      <c r="H328" s="131"/>
      <c r="I328" s="131"/>
      <c r="L328" s="135"/>
    </row>
    <row r="329" spans="3:12">
      <c r="C329" s="136"/>
      <c r="D329" s="121"/>
      <c r="E329" s="121"/>
      <c r="F329" s="51"/>
      <c r="G329" s="131"/>
      <c r="H329" s="131"/>
      <c r="I329" s="131"/>
      <c r="L329" s="135"/>
    </row>
    <row r="330" spans="3:12">
      <c r="C330" s="136"/>
      <c r="D330" s="121"/>
      <c r="E330" s="121"/>
      <c r="F330" s="51"/>
      <c r="G330" s="131"/>
      <c r="H330" s="131"/>
      <c r="I330" s="131"/>
      <c r="L330" s="135"/>
    </row>
    <row r="331" spans="3:12">
      <c r="C331" s="136"/>
      <c r="D331" s="121"/>
      <c r="E331" s="121"/>
      <c r="F331" s="51"/>
      <c r="G331" s="131"/>
      <c r="H331" s="131"/>
      <c r="I331" s="131"/>
      <c r="L331" s="135"/>
    </row>
    <row r="332" spans="3:12">
      <c r="C332" s="136"/>
      <c r="D332" s="121"/>
      <c r="E332" s="121"/>
      <c r="F332" s="51"/>
      <c r="G332" s="131"/>
      <c r="H332" s="131"/>
      <c r="I332" s="131"/>
      <c r="L332" s="135"/>
    </row>
    <row r="333" spans="3:12">
      <c r="C333" s="136"/>
      <c r="D333" s="121"/>
      <c r="E333" s="121"/>
      <c r="F333" s="51"/>
      <c r="G333" s="131"/>
      <c r="H333" s="131"/>
      <c r="I333" s="131"/>
      <c r="L333" s="135"/>
    </row>
    <row r="334" spans="3:12">
      <c r="C334" s="136"/>
      <c r="D334" s="121"/>
      <c r="E334" s="121"/>
      <c r="F334" s="51"/>
      <c r="G334" s="131"/>
      <c r="H334" s="131"/>
      <c r="I334" s="131"/>
      <c r="L334" s="135"/>
    </row>
    <row r="335" spans="3:12">
      <c r="C335" s="136"/>
      <c r="D335" s="121"/>
      <c r="E335" s="121"/>
      <c r="F335" s="51"/>
      <c r="G335" s="131"/>
      <c r="H335" s="131"/>
      <c r="I335" s="131"/>
      <c r="L335" s="135"/>
    </row>
    <row r="336" spans="3:12">
      <c r="C336" s="136"/>
      <c r="D336" s="121"/>
      <c r="E336" s="121"/>
      <c r="F336" s="51"/>
      <c r="G336" s="131"/>
      <c r="H336" s="131"/>
      <c r="I336" s="131"/>
      <c r="L336" s="135"/>
    </row>
    <row r="337" spans="3:12">
      <c r="C337" s="136"/>
      <c r="D337" s="121"/>
      <c r="E337" s="121"/>
      <c r="F337" s="51"/>
      <c r="G337" s="131"/>
      <c r="H337" s="131"/>
      <c r="I337" s="131"/>
      <c r="L337" s="135"/>
    </row>
    <row r="338" spans="3:12">
      <c r="C338" s="136"/>
      <c r="D338" s="121"/>
      <c r="E338" s="121"/>
      <c r="F338" s="51"/>
      <c r="G338" s="131"/>
      <c r="H338" s="131"/>
      <c r="I338" s="131"/>
      <c r="L338" s="135"/>
    </row>
    <row r="339" spans="3:12">
      <c r="C339" s="136"/>
      <c r="D339" s="121"/>
      <c r="E339" s="121"/>
      <c r="F339" s="51"/>
      <c r="G339" s="131"/>
      <c r="H339" s="131"/>
      <c r="I339" s="131"/>
      <c r="L339" s="135"/>
    </row>
    <row r="340" spans="3:12">
      <c r="C340" s="136"/>
      <c r="D340" s="121"/>
      <c r="E340" s="121"/>
      <c r="F340" s="51"/>
      <c r="G340" s="131"/>
      <c r="H340" s="131"/>
      <c r="I340" s="131"/>
      <c r="L340" s="135"/>
    </row>
    <row r="341" spans="3:12">
      <c r="C341" s="136"/>
      <c r="D341" s="121"/>
      <c r="E341" s="121"/>
      <c r="F341" s="51"/>
      <c r="G341" s="131"/>
      <c r="H341" s="131"/>
      <c r="I341" s="131"/>
      <c r="L341" s="135"/>
    </row>
    <row r="342" spans="3:12">
      <c r="C342" s="136"/>
      <c r="D342" s="121"/>
      <c r="E342" s="121"/>
      <c r="F342" s="51"/>
      <c r="G342" s="131"/>
      <c r="H342" s="131"/>
      <c r="I342" s="131"/>
      <c r="L342" s="135"/>
    </row>
    <row r="343" spans="3:12">
      <c r="C343" s="136"/>
      <c r="D343" s="121"/>
      <c r="E343" s="121"/>
      <c r="F343" s="51"/>
      <c r="G343" s="131"/>
      <c r="H343" s="131"/>
      <c r="I343" s="131"/>
      <c r="L343" s="135"/>
    </row>
    <row r="344" spans="3:12">
      <c r="C344" s="136"/>
      <c r="D344" s="121"/>
      <c r="E344" s="121"/>
      <c r="F344" s="51"/>
      <c r="G344" s="131"/>
      <c r="H344" s="131"/>
      <c r="I344" s="131"/>
      <c r="L344" s="135"/>
    </row>
    <row r="345" spans="3:12">
      <c r="C345" s="136"/>
      <c r="D345" s="121"/>
      <c r="E345" s="121"/>
      <c r="F345" s="51"/>
      <c r="G345" s="131"/>
      <c r="H345" s="131"/>
      <c r="I345" s="131"/>
      <c r="L345" s="135"/>
    </row>
    <row r="346" spans="3:12">
      <c r="C346" s="136"/>
      <c r="D346" s="121"/>
      <c r="E346" s="121"/>
      <c r="F346" s="51"/>
      <c r="G346" s="131"/>
      <c r="H346" s="131"/>
      <c r="I346" s="131"/>
      <c r="L346" s="135"/>
    </row>
    <row r="347" spans="3:12">
      <c r="C347" s="136"/>
      <c r="D347" s="121"/>
      <c r="E347" s="121"/>
      <c r="F347" s="51"/>
      <c r="G347" s="131"/>
      <c r="H347" s="131"/>
      <c r="I347" s="131"/>
      <c r="L347" s="135"/>
    </row>
    <row r="348" spans="3:12">
      <c r="C348" s="136"/>
      <c r="D348" s="121"/>
      <c r="E348" s="121"/>
      <c r="F348" s="51"/>
      <c r="G348" s="131"/>
      <c r="H348" s="131"/>
      <c r="I348" s="131"/>
      <c r="L348" s="135"/>
    </row>
    <row r="349" spans="3:12">
      <c r="C349" s="136"/>
      <c r="D349" s="121"/>
      <c r="E349" s="121"/>
      <c r="F349" s="51"/>
      <c r="G349" s="131"/>
      <c r="H349" s="131"/>
      <c r="I349" s="131"/>
      <c r="L349" s="135"/>
    </row>
    <row r="350" spans="3:12">
      <c r="C350" s="136"/>
      <c r="D350" s="121"/>
      <c r="E350" s="121"/>
      <c r="F350" s="51"/>
      <c r="G350" s="131"/>
      <c r="H350" s="131"/>
      <c r="I350" s="131"/>
      <c r="L350" s="135"/>
    </row>
    <row r="351" spans="3:12">
      <c r="C351" s="136"/>
      <c r="D351" s="121"/>
      <c r="E351" s="121"/>
      <c r="F351" s="51"/>
      <c r="G351" s="131"/>
      <c r="H351" s="131"/>
      <c r="I351" s="131"/>
      <c r="L351" s="135"/>
    </row>
    <row r="352" spans="3:12">
      <c r="C352" s="136"/>
      <c r="D352" s="121"/>
      <c r="E352" s="121"/>
      <c r="F352" s="51"/>
      <c r="G352" s="131"/>
      <c r="H352" s="131"/>
      <c r="I352" s="131"/>
      <c r="L352" s="135"/>
    </row>
    <row r="353" spans="3:12">
      <c r="C353" s="136"/>
      <c r="D353" s="121"/>
      <c r="E353" s="121"/>
      <c r="F353" s="51"/>
      <c r="G353" s="131"/>
      <c r="H353" s="131"/>
      <c r="I353" s="131"/>
      <c r="L353" s="135"/>
    </row>
    <row r="354" spans="3:12">
      <c r="C354" s="136"/>
      <c r="D354" s="121"/>
      <c r="E354" s="121"/>
      <c r="F354" s="51"/>
      <c r="G354" s="131"/>
      <c r="H354" s="131"/>
      <c r="I354" s="131"/>
      <c r="L354" s="135"/>
    </row>
    <row r="355" spans="3:12">
      <c r="C355" s="136"/>
      <c r="D355" s="121"/>
      <c r="E355" s="121"/>
      <c r="F355" s="51"/>
      <c r="G355" s="131"/>
      <c r="H355" s="131"/>
      <c r="I355" s="131"/>
      <c r="L355" s="135"/>
    </row>
    <row r="356" spans="3:12">
      <c r="C356" s="136"/>
      <c r="D356" s="121"/>
      <c r="E356" s="121"/>
      <c r="F356" s="51"/>
      <c r="G356" s="131"/>
      <c r="H356" s="131"/>
      <c r="I356" s="131"/>
      <c r="L356" s="135"/>
    </row>
    <row r="357" spans="3:12">
      <c r="C357" s="136"/>
      <c r="D357" s="121"/>
      <c r="E357" s="121"/>
      <c r="F357" s="51"/>
      <c r="G357" s="131"/>
      <c r="H357" s="131"/>
      <c r="I357" s="131"/>
      <c r="L357" s="135"/>
    </row>
    <row r="358" spans="3:12">
      <c r="C358" s="136"/>
      <c r="D358" s="121"/>
      <c r="E358" s="121"/>
      <c r="F358" s="51"/>
      <c r="G358" s="131"/>
      <c r="H358" s="131"/>
      <c r="I358" s="131"/>
      <c r="L358" s="135"/>
    </row>
    <row r="359" spans="3:12">
      <c r="C359" s="136"/>
      <c r="D359" s="121"/>
      <c r="E359" s="121"/>
      <c r="F359" s="51"/>
      <c r="G359" s="131"/>
      <c r="H359" s="131"/>
      <c r="I359" s="131"/>
      <c r="L359" s="135"/>
    </row>
    <row r="360" spans="3:12">
      <c r="C360" s="136"/>
      <c r="D360" s="121"/>
      <c r="E360" s="121"/>
      <c r="F360" s="51"/>
      <c r="G360" s="131"/>
      <c r="H360" s="131"/>
      <c r="I360" s="131"/>
      <c r="L360" s="135"/>
    </row>
    <row r="361" spans="3:12">
      <c r="C361" s="136"/>
      <c r="D361" s="121"/>
      <c r="E361" s="121"/>
      <c r="F361" s="51"/>
      <c r="G361" s="131"/>
      <c r="H361" s="131"/>
      <c r="I361" s="131"/>
      <c r="L361" s="135"/>
    </row>
    <row r="362" spans="3:12">
      <c r="C362" s="136"/>
      <c r="D362" s="121"/>
      <c r="E362" s="121"/>
      <c r="F362" s="51"/>
      <c r="G362" s="131"/>
      <c r="H362" s="131"/>
      <c r="I362" s="131"/>
      <c r="L362" s="135"/>
    </row>
    <row r="363" spans="3:12">
      <c r="C363" s="136"/>
      <c r="D363" s="121"/>
      <c r="E363" s="121"/>
      <c r="F363" s="51"/>
      <c r="G363" s="131"/>
      <c r="H363" s="131"/>
      <c r="I363" s="131"/>
      <c r="L363" s="135"/>
    </row>
    <row r="364" spans="3:12">
      <c r="C364" s="136"/>
      <c r="D364" s="121"/>
      <c r="E364" s="121"/>
      <c r="F364" s="51"/>
      <c r="G364" s="131"/>
      <c r="H364" s="131"/>
      <c r="I364" s="131"/>
      <c r="L364" s="135"/>
    </row>
    <row r="365" spans="3:12">
      <c r="C365" s="136"/>
      <c r="D365" s="121"/>
      <c r="E365" s="121"/>
      <c r="F365" s="51"/>
      <c r="G365" s="131"/>
      <c r="H365" s="131"/>
      <c r="I365" s="131"/>
      <c r="L365" s="135"/>
    </row>
    <row r="366" spans="3:12">
      <c r="C366" s="136"/>
      <c r="D366" s="121"/>
      <c r="E366" s="121"/>
      <c r="F366" s="51"/>
      <c r="G366" s="131"/>
      <c r="H366" s="131"/>
      <c r="I366" s="131"/>
      <c r="L366" s="135"/>
    </row>
    <row r="367" spans="3:12">
      <c r="C367" s="136"/>
      <c r="D367" s="121"/>
      <c r="E367" s="121"/>
      <c r="F367" s="51"/>
      <c r="G367" s="131"/>
      <c r="H367" s="131"/>
      <c r="I367" s="131"/>
      <c r="L367" s="135"/>
    </row>
    <row r="368" spans="3:12">
      <c r="C368" s="136"/>
      <c r="D368" s="121"/>
      <c r="E368" s="121"/>
      <c r="F368" s="51"/>
      <c r="G368" s="131"/>
      <c r="H368" s="131"/>
      <c r="I368" s="131"/>
      <c r="L368" s="135"/>
    </row>
    <row r="369" spans="3:12">
      <c r="C369" s="136"/>
      <c r="D369" s="121"/>
      <c r="E369" s="121"/>
      <c r="F369" s="51"/>
      <c r="G369" s="131"/>
      <c r="H369" s="131"/>
      <c r="I369" s="131"/>
      <c r="L369" s="135"/>
    </row>
    <row r="370" spans="3:12">
      <c r="C370" s="136"/>
      <c r="D370" s="121"/>
      <c r="E370" s="121"/>
      <c r="F370" s="51"/>
      <c r="G370" s="131"/>
      <c r="H370" s="131"/>
      <c r="I370" s="131"/>
      <c r="L370" s="135"/>
    </row>
    <row r="371" spans="3:12">
      <c r="C371" s="136"/>
      <c r="D371" s="121"/>
      <c r="E371" s="121"/>
      <c r="F371" s="51"/>
      <c r="G371" s="131"/>
      <c r="H371" s="131"/>
      <c r="I371" s="131"/>
      <c r="L371" s="135"/>
    </row>
    <row r="372" spans="3:12">
      <c r="C372" s="136"/>
      <c r="D372" s="121"/>
      <c r="E372" s="121"/>
      <c r="F372" s="51"/>
      <c r="G372" s="131"/>
      <c r="H372" s="131"/>
      <c r="I372" s="131"/>
      <c r="L372" s="135"/>
    </row>
    <row r="373" spans="3:12">
      <c r="C373" s="136"/>
      <c r="D373" s="121"/>
      <c r="E373" s="121"/>
      <c r="F373" s="51"/>
      <c r="G373" s="131"/>
      <c r="H373" s="131"/>
      <c r="I373" s="131"/>
      <c r="L373" s="135"/>
    </row>
    <row r="374" spans="3:12">
      <c r="C374" s="136"/>
      <c r="D374" s="121"/>
      <c r="E374" s="121"/>
      <c r="F374" s="51"/>
      <c r="G374" s="131"/>
      <c r="H374" s="131"/>
      <c r="I374" s="131"/>
      <c r="L374" s="135"/>
    </row>
    <row r="375" spans="3:12">
      <c r="C375" s="136"/>
      <c r="D375" s="121"/>
      <c r="E375" s="121"/>
      <c r="F375" s="51"/>
      <c r="G375" s="131"/>
      <c r="H375" s="131"/>
      <c r="I375" s="131"/>
      <c r="L375" s="135"/>
    </row>
    <row r="376" spans="3:12">
      <c r="C376" s="136"/>
      <c r="D376" s="121"/>
      <c r="E376" s="121"/>
      <c r="F376" s="51"/>
      <c r="G376" s="131"/>
      <c r="H376" s="131"/>
      <c r="I376" s="131"/>
      <c r="L376" s="135"/>
    </row>
    <row r="377" spans="3:12">
      <c r="C377" s="136"/>
      <c r="D377" s="121"/>
      <c r="E377" s="121"/>
      <c r="F377" s="51"/>
      <c r="G377" s="131"/>
      <c r="H377" s="131"/>
      <c r="I377" s="131"/>
      <c r="L377" s="135"/>
    </row>
    <row r="378" spans="3:12">
      <c r="C378" s="136"/>
      <c r="D378" s="121"/>
      <c r="E378" s="121"/>
      <c r="F378" s="51"/>
      <c r="G378" s="131"/>
      <c r="H378" s="131"/>
      <c r="I378" s="131"/>
      <c r="L378" s="135"/>
    </row>
    <row r="379" spans="3:12">
      <c r="C379" s="136"/>
      <c r="D379" s="121"/>
      <c r="E379" s="121"/>
      <c r="F379" s="51"/>
      <c r="G379" s="131"/>
      <c r="H379" s="131"/>
      <c r="I379" s="131"/>
      <c r="L379" s="135"/>
    </row>
    <row r="380" spans="3:12">
      <c r="C380" s="136"/>
      <c r="D380" s="121"/>
      <c r="E380" s="121"/>
      <c r="F380" s="51"/>
      <c r="G380" s="131"/>
      <c r="H380" s="131"/>
      <c r="I380" s="131"/>
      <c r="L380" s="135"/>
    </row>
    <row r="381" spans="3:12">
      <c r="C381" s="136"/>
      <c r="D381" s="121"/>
      <c r="E381" s="121"/>
      <c r="F381" s="51"/>
      <c r="G381" s="131"/>
      <c r="H381" s="131"/>
      <c r="I381" s="131"/>
      <c r="L381" s="135"/>
    </row>
    <row r="382" spans="3:12">
      <c r="C382" s="136"/>
      <c r="D382" s="121"/>
      <c r="E382" s="121"/>
      <c r="F382" s="51"/>
      <c r="G382" s="131"/>
      <c r="H382" s="131"/>
      <c r="I382" s="131"/>
      <c r="L382" s="135"/>
    </row>
    <row r="383" spans="3:12">
      <c r="C383" s="136"/>
      <c r="D383" s="121"/>
      <c r="E383" s="121"/>
      <c r="F383" s="51"/>
      <c r="G383" s="131"/>
      <c r="H383" s="131"/>
      <c r="I383" s="131"/>
      <c r="L383" s="135"/>
    </row>
    <row r="384" spans="3:12">
      <c r="C384" s="136"/>
      <c r="D384" s="121"/>
      <c r="E384" s="121"/>
      <c r="F384" s="51"/>
      <c r="G384" s="131"/>
      <c r="H384" s="131"/>
      <c r="I384" s="131"/>
      <c r="L384" s="135"/>
    </row>
    <row r="385" spans="3:12">
      <c r="C385" s="136"/>
      <c r="D385" s="121"/>
      <c r="E385" s="121"/>
      <c r="F385" s="51"/>
      <c r="G385" s="131"/>
      <c r="H385" s="131"/>
      <c r="I385" s="131"/>
      <c r="L385" s="135"/>
    </row>
    <row r="386" spans="3:12">
      <c r="C386" s="136"/>
      <c r="D386" s="121"/>
      <c r="E386" s="121"/>
      <c r="F386" s="51"/>
      <c r="G386" s="131"/>
      <c r="H386" s="131"/>
      <c r="I386" s="131"/>
      <c r="L386" s="135"/>
    </row>
    <row r="387" spans="3:12">
      <c r="C387" s="136"/>
      <c r="D387" s="121"/>
      <c r="E387" s="121"/>
      <c r="F387" s="51"/>
      <c r="G387" s="131"/>
      <c r="H387" s="131"/>
      <c r="I387" s="131"/>
      <c r="L387" s="135"/>
    </row>
    <row r="388" spans="3:12">
      <c r="C388" s="136"/>
      <c r="D388" s="121"/>
      <c r="E388" s="121"/>
      <c r="F388" s="51"/>
      <c r="G388" s="131"/>
      <c r="H388" s="131"/>
      <c r="I388" s="131"/>
      <c r="L388" s="135"/>
    </row>
    <row r="389" spans="3:12">
      <c r="C389" s="136"/>
      <c r="D389" s="121"/>
      <c r="E389" s="121"/>
      <c r="F389" s="51"/>
      <c r="G389" s="131"/>
      <c r="H389" s="131"/>
      <c r="I389" s="131"/>
      <c r="L389" s="135"/>
    </row>
    <row r="390" spans="3:12">
      <c r="C390" s="136"/>
      <c r="D390" s="121"/>
      <c r="E390" s="121"/>
      <c r="F390" s="51"/>
      <c r="G390" s="131"/>
      <c r="H390" s="131"/>
      <c r="I390" s="131"/>
      <c r="L390" s="135"/>
    </row>
    <row r="391" spans="3:12">
      <c r="C391" s="136"/>
      <c r="D391" s="121"/>
      <c r="E391" s="121"/>
      <c r="F391" s="51"/>
      <c r="G391" s="131"/>
      <c r="H391" s="131"/>
      <c r="I391" s="131"/>
      <c r="L391" s="135"/>
    </row>
    <row r="392" spans="3:12">
      <c r="C392" s="136"/>
      <c r="D392" s="121"/>
      <c r="E392" s="121"/>
      <c r="F392" s="51"/>
      <c r="G392" s="131"/>
      <c r="H392" s="131"/>
      <c r="I392" s="131"/>
      <c r="L392" s="135"/>
    </row>
    <row r="393" spans="3:12">
      <c r="C393" s="136"/>
      <c r="D393" s="121"/>
      <c r="E393" s="121"/>
      <c r="F393" s="51"/>
      <c r="G393" s="131"/>
      <c r="H393" s="131"/>
      <c r="I393" s="131"/>
      <c r="L393" s="135"/>
    </row>
    <row r="394" spans="3:12">
      <c r="C394" s="136"/>
      <c r="D394" s="121"/>
      <c r="E394" s="121"/>
      <c r="F394" s="51"/>
      <c r="G394" s="131"/>
      <c r="H394" s="131"/>
      <c r="I394" s="131"/>
      <c r="L394" s="135"/>
    </row>
    <row r="395" spans="3:12">
      <c r="C395" s="136"/>
      <c r="D395" s="121"/>
      <c r="E395" s="121"/>
      <c r="F395" s="51"/>
      <c r="G395" s="131"/>
      <c r="H395" s="131"/>
      <c r="I395" s="131"/>
      <c r="L395" s="135"/>
    </row>
    <row r="396" spans="3:12">
      <c r="C396" s="136"/>
      <c r="D396" s="121"/>
      <c r="E396" s="121"/>
      <c r="F396" s="51"/>
      <c r="G396" s="131"/>
      <c r="H396" s="131"/>
      <c r="I396" s="131"/>
      <c r="L396" s="135"/>
    </row>
    <row r="397" spans="3:12">
      <c r="C397" s="136"/>
      <c r="D397" s="121"/>
      <c r="E397" s="121"/>
      <c r="F397" s="51"/>
      <c r="G397" s="131"/>
      <c r="H397" s="131"/>
      <c r="I397" s="131"/>
      <c r="L397" s="135"/>
    </row>
    <row r="398" spans="3:12">
      <c r="C398" s="136"/>
      <c r="D398" s="121"/>
      <c r="E398" s="121"/>
      <c r="F398" s="51"/>
      <c r="G398" s="131"/>
      <c r="H398" s="131"/>
      <c r="I398" s="131"/>
      <c r="L398" s="135"/>
    </row>
    <row r="399" spans="3:12">
      <c r="C399" s="136"/>
      <c r="D399" s="121"/>
      <c r="E399" s="121"/>
      <c r="F399" s="51"/>
      <c r="G399" s="131"/>
      <c r="H399" s="131"/>
      <c r="I399" s="131"/>
      <c r="L399" s="135"/>
    </row>
    <row r="400" spans="3:12">
      <c r="C400" s="136"/>
      <c r="D400" s="121"/>
      <c r="E400" s="121"/>
      <c r="F400" s="51"/>
      <c r="G400" s="131"/>
      <c r="H400" s="131"/>
      <c r="I400" s="131"/>
      <c r="L400" s="135"/>
    </row>
    <row r="401" spans="3:12">
      <c r="C401" s="136"/>
      <c r="D401" s="121"/>
      <c r="E401" s="121"/>
      <c r="F401" s="51"/>
      <c r="G401" s="131"/>
      <c r="H401" s="131"/>
      <c r="I401" s="131"/>
      <c r="L401" s="135"/>
    </row>
    <row r="402" spans="3:12">
      <c r="C402" s="136"/>
      <c r="D402" s="121"/>
      <c r="E402" s="121"/>
      <c r="F402" s="51"/>
      <c r="G402" s="131"/>
      <c r="H402" s="131"/>
      <c r="I402" s="131"/>
      <c r="L402" s="135"/>
    </row>
    <row r="403" spans="3:12">
      <c r="C403" s="136"/>
      <c r="D403" s="121"/>
      <c r="E403" s="121"/>
      <c r="F403" s="51"/>
      <c r="G403" s="131"/>
      <c r="H403" s="131"/>
      <c r="I403" s="131"/>
      <c r="L403" s="135"/>
    </row>
    <row r="404" spans="3:12">
      <c r="C404" s="136"/>
      <c r="D404" s="121"/>
      <c r="E404" s="121"/>
      <c r="F404" s="51"/>
      <c r="G404" s="131"/>
      <c r="H404" s="131"/>
      <c r="I404" s="131"/>
      <c r="L404" s="135"/>
    </row>
    <row r="405" spans="3:12">
      <c r="C405" s="136"/>
      <c r="D405" s="121"/>
      <c r="E405" s="121"/>
      <c r="F405" s="51"/>
      <c r="G405" s="131"/>
      <c r="H405" s="131"/>
      <c r="I405" s="131"/>
      <c r="L405" s="135"/>
    </row>
    <row r="406" spans="3:12">
      <c r="C406" s="136"/>
      <c r="D406" s="121"/>
      <c r="E406" s="121"/>
      <c r="F406" s="51"/>
      <c r="G406" s="131"/>
      <c r="H406" s="131"/>
      <c r="I406" s="131"/>
      <c r="L406" s="135"/>
    </row>
    <row r="407" spans="3:12">
      <c r="C407" s="136"/>
      <c r="D407" s="121"/>
      <c r="E407" s="121"/>
      <c r="F407" s="51"/>
      <c r="G407" s="131"/>
      <c r="H407" s="131"/>
      <c r="I407" s="131"/>
      <c r="L407" s="135"/>
    </row>
    <row r="408" spans="3:12">
      <c r="C408" s="136"/>
      <c r="D408" s="121"/>
      <c r="E408" s="121"/>
      <c r="F408" s="51"/>
      <c r="G408" s="131"/>
      <c r="H408" s="131"/>
      <c r="I408" s="131"/>
      <c r="L408" s="135"/>
    </row>
    <row r="409" spans="3:12">
      <c r="C409" s="136"/>
      <c r="D409" s="121"/>
      <c r="E409" s="121"/>
      <c r="F409" s="51"/>
      <c r="G409" s="131"/>
      <c r="H409" s="131"/>
      <c r="I409" s="131"/>
      <c r="L409" s="135"/>
    </row>
    <row r="410" spans="3:12">
      <c r="C410" s="136"/>
      <c r="D410" s="121"/>
      <c r="E410" s="121"/>
      <c r="F410" s="51"/>
      <c r="G410" s="131"/>
      <c r="H410" s="131"/>
      <c r="I410" s="131"/>
      <c r="L410" s="135"/>
    </row>
    <row r="411" spans="3:12">
      <c r="C411" s="136"/>
      <c r="D411" s="121"/>
      <c r="E411" s="121"/>
      <c r="F411" s="51"/>
      <c r="G411" s="131"/>
      <c r="H411" s="131"/>
      <c r="I411" s="131"/>
      <c r="L411" s="135"/>
    </row>
    <row r="412" spans="3:12">
      <c r="C412" s="136"/>
      <c r="D412" s="121"/>
      <c r="E412" s="121"/>
      <c r="F412" s="51"/>
      <c r="G412" s="131"/>
      <c r="H412" s="131"/>
      <c r="I412" s="131"/>
      <c r="L412" s="135"/>
    </row>
    <row r="413" spans="3:12">
      <c r="C413" s="136"/>
      <c r="D413" s="121"/>
      <c r="E413" s="121"/>
      <c r="F413" s="51"/>
      <c r="G413" s="131"/>
      <c r="H413" s="131"/>
      <c r="I413" s="131"/>
      <c r="L413" s="135"/>
    </row>
    <row r="414" spans="3:12">
      <c r="C414" s="136"/>
      <c r="D414" s="121"/>
      <c r="E414" s="121"/>
      <c r="F414" s="51"/>
      <c r="G414" s="131"/>
      <c r="H414" s="131"/>
      <c r="I414" s="131"/>
      <c r="L414" s="135"/>
    </row>
    <row r="415" spans="3:12">
      <c r="C415" s="136"/>
      <c r="D415" s="121"/>
      <c r="E415" s="121"/>
      <c r="F415" s="51"/>
      <c r="G415" s="131"/>
      <c r="H415" s="131"/>
      <c r="I415" s="131"/>
      <c r="L415" s="135"/>
    </row>
    <row r="416" spans="3:12">
      <c r="C416" s="136"/>
      <c r="D416" s="121"/>
      <c r="E416" s="121"/>
      <c r="F416" s="51"/>
      <c r="G416" s="131"/>
      <c r="H416" s="131"/>
      <c r="I416" s="131"/>
      <c r="L416" s="135"/>
    </row>
    <row r="417" spans="3:12">
      <c r="C417" s="136"/>
      <c r="D417" s="121"/>
      <c r="E417" s="121"/>
      <c r="F417" s="51"/>
      <c r="G417" s="131"/>
      <c r="H417" s="131"/>
      <c r="I417" s="131"/>
      <c r="L417" s="135"/>
    </row>
    <row r="418" spans="3:12">
      <c r="C418" s="136"/>
      <c r="D418" s="121"/>
      <c r="E418" s="121"/>
      <c r="F418" s="51"/>
      <c r="G418" s="131"/>
      <c r="H418" s="131"/>
      <c r="I418" s="131"/>
      <c r="L418" s="135"/>
    </row>
    <row r="419" spans="3:12">
      <c r="C419" s="136"/>
      <c r="D419" s="121"/>
      <c r="E419" s="121"/>
      <c r="F419" s="51"/>
      <c r="G419" s="131"/>
      <c r="H419" s="131"/>
      <c r="I419" s="131"/>
      <c r="L419" s="135"/>
    </row>
    <row r="420" spans="3:12">
      <c r="C420" s="136"/>
      <c r="D420" s="121"/>
      <c r="E420" s="121"/>
      <c r="F420" s="51"/>
      <c r="G420" s="131"/>
      <c r="H420" s="131"/>
      <c r="I420" s="131"/>
      <c r="L420" s="135"/>
    </row>
    <row r="421" spans="3:12">
      <c r="C421" s="136"/>
      <c r="D421" s="121"/>
      <c r="E421" s="121"/>
      <c r="F421" s="51"/>
      <c r="G421" s="131"/>
      <c r="H421" s="131"/>
      <c r="I421" s="131"/>
      <c r="L421" s="135"/>
    </row>
    <row r="422" spans="3:12">
      <c r="C422" s="136"/>
      <c r="D422" s="121"/>
      <c r="E422" s="121"/>
      <c r="F422" s="51"/>
      <c r="G422" s="131"/>
      <c r="H422" s="131"/>
      <c r="I422" s="131"/>
      <c r="L422" s="135"/>
    </row>
    <row r="423" spans="3:12">
      <c r="C423" s="136"/>
      <c r="D423" s="121"/>
      <c r="E423" s="121"/>
      <c r="F423" s="51"/>
      <c r="G423" s="131"/>
      <c r="H423" s="131"/>
      <c r="I423" s="131"/>
      <c r="L423" s="135"/>
    </row>
    <row r="424" spans="3:12">
      <c r="C424" s="136"/>
      <c r="D424" s="121"/>
      <c r="E424" s="121"/>
      <c r="F424" s="51"/>
      <c r="G424" s="131"/>
      <c r="H424" s="131"/>
      <c r="I424" s="131"/>
      <c r="L424" s="135"/>
    </row>
    <row r="425" spans="3:12">
      <c r="C425" s="136"/>
      <c r="D425" s="121"/>
      <c r="E425" s="121"/>
      <c r="F425" s="51"/>
      <c r="G425" s="131"/>
      <c r="H425" s="131"/>
      <c r="I425" s="131"/>
      <c r="L425" s="135"/>
    </row>
    <row r="426" spans="3:12">
      <c r="C426" s="136"/>
      <c r="D426" s="121"/>
      <c r="E426" s="121"/>
      <c r="F426" s="51"/>
      <c r="G426" s="131"/>
      <c r="H426" s="131"/>
      <c r="I426" s="131"/>
      <c r="L426" s="135"/>
    </row>
    <row r="427" spans="3:12">
      <c r="C427" s="136"/>
      <c r="D427" s="121"/>
      <c r="E427" s="121"/>
      <c r="F427" s="51"/>
      <c r="G427" s="131"/>
      <c r="H427" s="131"/>
      <c r="I427" s="131"/>
      <c r="L427" s="135"/>
    </row>
    <row r="428" spans="3:12">
      <c r="C428" s="136"/>
      <c r="D428" s="121"/>
      <c r="E428" s="121"/>
      <c r="F428" s="51"/>
      <c r="G428" s="131"/>
      <c r="H428" s="131"/>
      <c r="I428" s="131"/>
      <c r="L428" s="135"/>
    </row>
    <row r="429" spans="3:12">
      <c r="C429" s="136"/>
      <c r="D429" s="121"/>
      <c r="E429" s="121"/>
      <c r="F429" s="51"/>
      <c r="G429" s="131"/>
      <c r="H429" s="131"/>
      <c r="I429" s="131"/>
      <c r="L429" s="135"/>
    </row>
    <row r="430" spans="3:12">
      <c r="C430" s="136"/>
      <c r="D430" s="121"/>
      <c r="E430" s="121"/>
      <c r="F430" s="51"/>
      <c r="G430" s="131"/>
      <c r="H430" s="131"/>
      <c r="I430" s="131"/>
      <c r="L430" s="135"/>
    </row>
    <row r="431" spans="3:12">
      <c r="C431" s="136"/>
      <c r="D431" s="121"/>
      <c r="E431" s="121"/>
      <c r="F431" s="51"/>
      <c r="G431" s="131"/>
      <c r="H431" s="131"/>
      <c r="I431" s="131"/>
      <c r="L431" s="135"/>
    </row>
    <row r="432" spans="3:12">
      <c r="C432" s="136"/>
      <c r="D432" s="121"/>
      <c r="E432" s="121"/>
      <c r="F432" s="51"/>
      <c r="G432" s="131"/>
      <c r="H432" s="131"/>
      <c r="I432" s="131"/>
      <c r="L432" s="135"/>
    </row>
    <row r="433" spans="3:12">
      <c r="C433" s="136"/>
      <c r="D433" s="121"/>
      <c r="E433" s="121"/>
      <c r="F433" s="51"/>
      <c r="G433" s="131"/>
      <c r="H433" s="131"/>
      <c r="I433" s="131"/>
      <c r="L433" s="135"/>
    </row>
    <row r="434" spans="3:12">
      <c r="C434" s="136"/>
      <c r="D434" s="121"/>
      <c r="E434" s="121"/>
      <c r="F434" s="51"/>
      <c r="G434" s="131"/>
      <c r="H434" s="131"/>
      <c r="I434" s="131"/>
      <c r="L434" s="135"/>
    </row>
    <row r="435" spans="3:12">
      <c r="C435" s="136"/>
      <c r="D435" s="121"/>
      <c r="E435" s="121"/>
      <c r="F435" s="51"/>
      <c r="G435" s="131"/>
      <c r="H435" s="131"/>
      <c r="I435" s="131"/>
      <c r="L435" s="135"/>
    </row>
    <row r="436" spans="3:12">
      <c r="C436" s="136"/>
      <c r="D436" s="121"/>
      <c r="E436" s="121"/>
      <c r="F436" s="51"/>
      <c r="G436" s="131"/>
      <c r="H436" s="131"/>
      <c r="I436" s="131"/>
      <c r="L436" s="135"/>
    </row>
    <row r="437" spans="3:12">
      <c r="C437" s="136"/>
      <c r="D437" s="121"/>
      <c r="E437" s="121"/>
      <c r="F437" s="51"/>
      <c r="G437" s="131"/>
      <c r="H437" s="131"/>
      <c r="I437" s="131"/>
      <c r="L437" s="135"/>
    </row>
    <row r="438" spans="3:12">
      <c r="C438" s="136"/>
      <c r="D438" s="121"/>
      <c r="E438" s="121"/>
      <c r="F438" s="51"/>
      <c r="G438" s="131"/>
      <c r="H438" s="131"/>
      <c r="I438" s="131"/>
      <c r="L438" s="135"/>
    </row>
    <row r="439" spans="3:12">
      <c r="C439" s="136"/>
      <c r="D439" s="121"/>
      <c r="E439" s="121"/>
      <c r="F439" s="51"/>
      <c r="G439" s="131"/>
      <c r="H439" s="131"/>
      <c r="I439" s="131"/>
      <c r="L439" s="135"/>
    </row>
    <row r="440" spans="3:12">
      <c r="C440" s="136"/>
      <c r="D440" s="121"/>
      <c r="E440" s="121"/>
      <c r="F440" s="51"/>
      <c r="G440" s="131"/>
      <c r="H440" s="131"/>
      <c r="I440" s="131"/>
      <c r="L440" s="135"/>
    </row>
    <row r="441" spans="3:12">
      <c r="C441" s="136"/>
      <c r="D441" s="121"/>
      <c r="E441" s="121"/>
      <c r="F441" s="51"/>
      <c r="G441" s="131"/>
      <c r="H441" s="131"/>
      <c r="I441" s="131"/>
      <c r="L441" s="135"/>
    </row>
    <row r="442" spans="3:12">
      <c r="C442" s="136"/>
      <c r="D442" s="121"/>
      <c r="E442" s="121"/>
      <c r="F442" s="51"/>
      <c r="G442" s="131"/>
      <c r="H442" s="131"/>
      <c r="I442" s="131"/>
      <c r="L442" s="135"/>
    </row>
    <row r="443" spans="3:12">
      <c r="C443" s="136"/>
      <c r="D443" s="121"/>
      <c r="E443" s="121"/>
      <c r="F443" s="51"/>
      <c r="G443" s="131"/>
      <c r="H443" s="131"/>
      <c r="I443" s="131"/>
      <c r="L443" s="135"/>
    </row>
    <row r="444" spans="3:12">
      <c r="C444" s="136"/>
      <c r="D444" s="121"/>
      <c r="E444" s="121"/>
      <c r="F444" s="51"/>
      <c r="G444" s="131"/>
      <c r="H444" s="131"/>
      <c r="I444" s="131"/>
      <c r="L444" s="135"/>
    </row>
    <row r="445" spans="3:12">
      <c r="C445" s="136"/>
      <c r="D445" s="121"/>
      <c r="E445" s="121"/>
      <c r="F445" s="51"/>
      <c r="G445" s="131"/>
      <c r="H445" s="131"/>
      <c r="I445" s="131"/>
      <c r="L445" s="135"/>
    </row>
    <row r="446" spans="3:12">
      <c r="C446" s="136"/>
      <c r="D446" s="121"/>
      <c r="E446" s="121"/>
      <c r="F446" s="51"/>
      <c r="G446" s="131"/>
      <c r="H446" s="131"/>
      <c r="I446" s="131"/>
      <c r="L446" s="135"/>
    </row>
    <row r="447" spans="3:12">
      <c r="C447" s="136"/>
      <c r="D447" s="121"/>
      <c r="E447" s="121"/>
      <c r="F447" s="51"/>
      <c r="G447" s="131"/>
      <c r="H447" s="131"/>
      <c r="I447" s="131"/>
      <c r="L447" s="135"/>
    </row>
    <row r="448" spans="3:12">
      <c r="C448" s="136"/>
      <c r="D448" s="121"/>
      <c r="E448" s="121"/>
      <c r="F448" s="51"/>
      <c r="G448" s="131"/>
      <c r="H448" s="131"/>
      <c r="I448" s="131"/>
      <c r="L448" s="135"/>
    </row>
    <row r="449" spans="3:12">
      <c r="C449" s="136"/>
      <c r="D449" s="121"/>
      <c r="E449" s="121"/>
      <c r="F449" s="51"/>
      <c r="G449" s="131"/>
      <c r="H449" s="131"/>
      <c r="I449" s="131"/>
      <c r="L449" s="135"/>
    </row>
    <row r="450" spans="3:12">
      <c r="C450" s="136"/>
      <c r="D450" s="121"/>
      <c r="E450" s="121"/>
      <c r="F450" s="51"/>
      <c r="G450" s="131"/>
      <c r="H450" s="131"/>
      <c r="I450" s="131"/>
      <c r="L450" s="135"/>
    </row>
    <row r="451" spans="3:12">
      <c r="C451" s="136"/>
      <c r="D451" s="121"/>
      <c r="E451" s="121"/>
      <c r="F451" s="51"/>
      <c r="G451" s="131"/>
      <c r="H451" s="131"/>
      <c r="I451" s="131"/>
      <c r="L451" s="135"/>
    </row>
    <row r="452" spans="3:12">
      <c r="C452" s="136"/>
      <c r="D452" s="121"/>
      <c r="E452" s="121"/>
      <c r="F452" s="51"/>
      <c r="G452" s="131"/>
      <c r="H452" s="131"/>
      <c r="I452" s="131"/>
      <c r="L452" s="135"/>
    </row>
    <row r="453" spans="3:12">
      <c r="C453" s="136"/>
      <c r="D453" s="121"/>
      <c r="E453" s="121"/>
      <c r="F453" s="51"/>
      <c r="G453" s="131"/>
      <c r="H453" s="131"/>
      <c r="I453" s="131"/>
      <c r="L453" s="135"/>
    </row>
    <row r="454" spans="3:12">
      <c r="C454" s="136"/>
      <c r="D454" s="121"/>
      <c r="E454" s="121"/>
      <c r="F454" s="51"/>
      <c r="G454" s="131"/>
      <c r="H454" s="131"/>
      <c r="I454" s="131"/>
      <c r="L454" s="135"/>
    </row>
    <row r="455" spans="3:12">
      <c r="C455" s="136"/>
      <c r="D455" s="121"/>
      <c r="E455" s="121"/>
      <c r="F455" s="51"/>
      <c r="G455" s="131"/>
      <c r="H455" s="131"/>
      <c r="I455" s="131"/>
      <c r="L455" s="135"/>
    </row>
    <row r="456" spans="3:12">
      <c r="C456" s="136"/>
      <c r="D456" s="121"/>
      <c r="E456" s="121"/>
      <c r="F456" s="51"/>
      <c r="G456" s="131"/>
      <c r="H456" s="131"/>
      <c r="I456" s="131"/>
      <c r="L456" s="135"/>
    </row>
    <row r="457" spans="3:12">
      <c r="C457" s="136"/>
      <c r="D457" s="121"/>
      <c r="E457" s="121"/>
      <c r="F457" s="51"/>
      <c r="G457" s="131"/>
      <c r="H457" s="131"/>
      <c r="I457" s="131"/>
      <c r="L457" s="135"/>
    </row>
    <row r="458" spans="3:12">
      <c r="C458" s="136"/>
      <c r="D458" s="121"/>
      <c r="E458" s="121"/>
      <c r="F458" s="51"/>
      <c r="G458" s="131"/>
      <c r="H458" s="131"/>
      <c r="I458" s="131"/>
      <c r="L458" s="135"/>
    </row>
    <row r="459" spans="3:12">
      <c r="C459" s="136"/>
      <c r="D459" s="121"/>
      <c r="E459" s="121"/>
      <c r="F459" s="51"/>
      <c r="G459" s="131"/>
      <c r="H459" s="131"/>
      <c r="I459" s="131"/>
      <c r="L459" s="135"/>
    </row>
    <row r="460" spans="3:12">
      <c r="C460" s="136"/>
      <c r="D460" s="121"/>
      <c r="E460" s="121"/>
      <c r="F460" s="51"/>
      <c r="G460" s="131"/>
      <c r="H460" s="131"/>
      <c r="I460" s="131"/>
      <c r="L460" s="135"/>
    </row>
    <row r="461" spans="3:12">
      <c r="C461" s="136"/>
      <c r="D461" s="121"/>
      <c r="E461" s="121"/>
      <c r="F461" s="51"/>
      <c r="G461" s="131"/>
      <c r="H461" s="131"/>
      <c r="I461" s="131"/>
      <c r="L461" s="135"/>
    </row>
    <row r="462" spans="3:12">
      <c r="C462" s="136"/>
      <c r="D462" s="121"/>
      <c r="E462" s="121"/>
      <c r="F462" s="51"/>
      <c r="G462" s="131"/>
      <c r="H462" s="131"/>
      <c r="I462" s="131"/>
      <c r="L462" s="135"/>
    </row>
    <row r="463" spans="3:12">
      <c r="C463" s="136"/>
      <c r="D463" s="121"/>
      <c r="E463" s="121"/>
      <c r="F463" s="51"/>
      <c r="G463" s="131"/>
      <c r="H463" s="131"/>
      <c r="I463" s="131"/>
      <c r="L463" s="135"/>
    </row>
    <row r="464" spans="3:12">
      <c r="C464" s="136"/>
      <c r="D464" s="121"/>
      <c r="E464" s="121"/>
      <c r="F464" s="51"/>
      <c r="G464" s="131"/>
      <c r="H464" s="131"/>
      <c r="I464" s="131"/>
      <c r="L464" s="135"/>
    </row>
    <row r="465" spans="3:12">
      <c r="C465" s="136"/>
      <c r="D465" s="121"/>
      <c r="E465" s="121"/>
      <c r="F465" s="51"/>
      <c r="G465" s="131"/>
      <c r="H465" s="131"/>
      <c r="I465" s="131"/>
      <c r="L465" s="135"/>
    </row>
    <row r="466" spans="3:12">
      <c r="C466" s="136"/>
      <c r="D466" s="121"/>
      <c r="E466" s="121"/>
      <c r="F466" s="51"/>
      <c r="G466" s="131"/>
      <c r="H466" s="131"/>
      <c r="I466" s="131"/>
      <c r="L466" s="135"/>
    </row>
    <row r="467" spans="3:12">
      <c r="C467" s="136"/>
      <c r="D467" s="121"/>
      <c r="E467" s="121"/>
      <c r="F467" s="51"/>
      <c r="G467" s="131"/>
      <c r="H467" s="131"/>
      <c r="I467" s="131"/>
      <c r="L467" s="135"/>
    </row>
    <row r="468" spans="3:12">
      <c r="C468" s="136"/>
      <c r="D468" s="121"/>
      <c r="E468" s="121"/>
      <c r="F468" s="51"/>
      <c r="G468" s="131"/>
      <c r="H468" s="131"/>
      <c r="I468" s="131"/>
      <c r="L468" s="135"/>
    </row>
    <row r="469" spans="3:12">
      <c r="C469" s="136"/>
      <c r="D469" s="121"/>
      <c r="E469" s="121"/>
      <c r="F469" s="51"/>
      <c r="G469" s="131"/>
      <c r="H469" s="131"/>
      <c r="I469" s="131"/>
      <c r="L469" s="135"/>
    </row>
    <row r="470" spans="3:12">
      <c r="C470" s="136"/>
      <c r="D470" s="121"/>
      <c r="E470" s="121"/>
      <c r="F470" s="51"/>
      <c r="G470" s="131"/>
      <c r="H470" s="131"/>
      <c r="I470" s="131"/>
      <c r="L470" s="135"/>
    </row>
    <row r="471" spans="3:12">
      <c r="C471" s="136"/>
      <c r="D471" s="121"/>
      <c r="E471" s="121"/>
      <c r="F471" s="51"/>
      <c r="G471" s="131"/>
      <c r="H471" s="131"/>
      <c r="I471" s="131"/>
      <c r="L471" s="135"/>
    </row>
    <row r="472" spans="3:12">
      <c r="C472" s="136"/>
      <c r="D472" s="121"/>
      <c r="E472" s="121"/>
      <c r="F472" s="51"/>
      <c r="G472" s="131"/>
      <c r="H472" s="131"/>
      <c r="I472" s="131"/>
      <c r="L472" s="135"/>
    </row>
    <row r="473" spans="3:12">
      <c r="C473" s="136"/>
      <c r="D473" s="121"/>
      <c r="E473" s="121"/>
      <c r="F473" s="51"/>
      <c r="G473" s="131"/>
      <c r="H473" s="131"/>
      <c r="I473" s="131"/>
      <c r="L473" s="135"/>
    </row>
    <row r="474" spans="3:12">
      <c r="C474" s="136"/>
      <c r="D474" s="121"/>
      <c r="E474" s="121"/>
      <c r="F474" s="51"/>
      <c r="G474" s="131"/>
      <c r="H474" s="131"/>
      <c r="I474" s="131"/>
      <c r="L474" s="135"/>
    </row>
    <row r="475" spans="3:12">
      <c r="C475" s="136"/>
      <c r="D475" s="121"/>
      <c r="E475" s="121"/>
      <c r="F475" s="51"/>
      <c r="G475" s="131"/>
      <c r="H475" s="131"/>
      <c r="I475" s="131"/>
      <c r="L475" s="135"/>
    </row>
    <row r="476" spans="3:12">
      <c r="C476" s="136"/>
      <c r="D476" s="121"/>
      <c r="E476" s="121"/>
      <c r="F476" s="51"/>
      <c r="G476" s="131"/>
      <c r="H476" s="131"/>
      <c r="I476" s="131"/>
      <c r="L476" s="135"/>
    </row>
    <row r="477" spans="3:12">
      <c r="C477" s="136"/>
      <c r="D477" s="121"/>
      <c r="E477" s="121"/>
      <c r="F477" s="51"/>
      <c r="G477" s="131"/>
      <c r="H477" s="131"/>
      <c r="I477" s="131"/>
      <c r="L477" s="135"/>
    </row>
    <row r="478" spans="3:12">
      <c r="C478" s="136"/>
      <c r="D478" s="121"/>
      <c r="E478" s="121"/>
      <c r="F478" s="51"/>
      <c r="G478" s="131"/>
      <c r="H478" s="131"/>
      <c r="I478" s="131"/>
      <c r="L478" s="135"/>
    </row>
    <row r="479" spans="3:12">
      <c r="C479" s="136"/>
      <c r="D479" s="121"/>
      <c r="E479" s="121"/>
      <c r="F479" s="51"/>
      <c r="G479" s="131"/>
      <c r="H479" s="131"/>
      <c r="I479" s="131"/>
      <c r="L479" s="135"/>
    </row>
    <row r="480" spans="3:12">
      <c r="C480" s="136"/>
      <c r="D480" s="121"/>
      <c r="E480" s="121"/>
      <c r="F480" s="51"/>
      <c r="G480" s="131"/>
      <c r="H480" s="131"/>
      <c r="I480" s="131"/>
      <c r="L480" s="135"/>
    </row>
    <row r="481" spans="3:12">
      <c r="C481" s="136"/>
      <c r="D481" s="121"/>
      <c r="E481" s="121"/>
      <c r="F481" s="51"/>
      <c r="G481" s="131"/>
      <c r="H481" s="131"/>
      <c r="I481" s="131"/>
      <c r="L481" s="135"/>
    </row>
    <row r="482" spans="3:12">
      <c r="C482" s="136"/>
      <c r="D482" s="121"/>
      <c r="E482" s="121"/>
      <c r="F482" s="51"/>
      <c r="G482" s="131"/>
      <c r="H482" s="131"/>
      <c r="I482" s="131"/>
      <c r="L482" s="135"/>
    </row>
    <row r="483" spans="3:12">
      <c r="C483" s="136"/>
      <c r="D483" s="121"/>
      <c r="E483" s="121"/>
      <c r="F483" s="51"/>
      <c r="G483" s="131"/>
      <c r="H483" s="131"/>
      <c r="I483" s="131"/>
      <c r="L483" s="135"/>
    </row>
    <row r="484" spans="3:12">
      <c r="C484" s="136"/>
      <c r="D484" s="121"/>
      <c r="E484" s="121"/>
      <c r="F484" s="51"/>
      <c r="G484" s="131"/>
      <c r="H484" s="131"/>
      <c r="I484" s="131"/>
      <c r="L484" s="135"/>
    </row>
    <row r="485" spans="3:12">
      <c r="C485" s="136"/>
      <c r="D485" s="121"/>
      <c r="E485" s="121"/>
      <c r="F485" s="51"/>
      <c r="G485" s="131"/>
      <c r="H485" s="131"/>
      <c r="I485" s="131"/>
      <c r="L485" s="135"/>
    </row>
    <row r="486" spans="3:12">
      <c r="C486" s="136"/>
      <c r="D486" s="121"/>
      <c r="E486" s="121"/>
      <c r="F486" s="51"/>
      <c r="G486" s="131"/>
      <c r="H486" s="131"/>
      <c r="I486" s="131"/>
      <c r="L486" s="135"/>
    </row>
    <row r="487" spans="3:12">
      <c r="C487" s="136"/>
      <c r="D487" s="121"/>
      <c r="E487" s="121"/>
      <c r="F487" s="51"/>
      <c r="G487" s="131"/>
      <c r="H487" s="131"/>
      <c r="I487" s="131"/>
      <c r="L487" s="135"/>
    </row>
    <row r="488" spans="3:12">
      <c r="C488" s="136"/>
      <c r="D488" s="121"/>
      <c r="E488" s="121"/>
      <c r="F488" s="51"/>
      <c r="G488" s="131"/>
      <c r="H488" s="131"/>
      <c r="I488" s="131"/>
      <c r="L488" s="135"/>
    </row>
    <row r="489" spans="3:12">
      <c r="C489" s="136"/>
      <c r="D489" s="121"/>
      <c r="E489" s="121"/>
      <c r="F489" s="51"/>
      <c r="G489" s="131"/>
      <c r="H489" s="131"/>
      <c r="I489" s="131"/>
      <c r="L489" s="135"/>
    </row>
    <row r="490" spans="3:12">
      <c r="C490" s="136"/>
      <c r="D490" s="121"/>
      <c r="E490" s="121"/>
      <c r="F490" s="51"/>
      <c r="G490" s="131"/>
      <c r="H490" s="131"/>
      <c r="I490" s="131"/>
      <c r="L490" s="135"/>
    </row>
    <row r="491" spans="3:12">
      <c r="C491" s="136"/>
      <c r="D491" s="121"/>
      <c r="E491" s="121"/>
      <c r="F491" s="51"/>
      <c r="G491" s="131"/>
      <c r="H491" s="131"/>
      <c r="I491" s="131"/>
      <c r="L491" s="135"/>
    </row>
    <row r="492" spans="3:12">
      <c r="C492" s="136"/>
      <c r="D492" s="121"/>
      <c r="E492" s="121"/>
      <c r="F492" s="51"/>
      <c r="G492" s="131"/>
      <c r="H492" s="131"/>
      <c r="I492" s="131"/>
      <c r="L492" s="135"/>
    </row>
    <row r="493" spans="3:12">
      <c r="C493" s="136"/>
      <c r="D493" s="121"/>
      <c r="E493" s="121"/>
      <c r="F493" s="51"/>
      <c r="G493" s="131"/>
      <c r="H493" s="131"/>
      <c r="I493" s="131"/>
      <c r="L493" s="135"/>
    </row>
    <row r="494" spans="3:12">
      <c r="C494" s="136"/>
      <c r="D494" s="121"/>
      <c r="E494" s="121"/>
      <c r="F494" s="51"/>
      <c r="G494" s="131"/>
      <c r="H494" s="131"/>
      <c r="I494" s="131"/>
      <c r="L494" s="135"/>
    </row>
    <row r="495" spans="3:12">
      <c r="C495" s="136"/>
      <c r="D495" s="121"/>
      <c r="E495" s="121"/>
      <c r="F495" s="51"/>
      <c r="G495" s="131"/>
      <c r="H495" s="131"/>
      <c r="I495" s="131"/>
      <c r="L495" s="135"/>
    </row>
    <row r="496" spans="3:12">
      <c r="C496" s="136"/>
      <c r="D496" s="121"/>
      <c r="E496" s="121"/>
      <c r="F496" s="51"/>
      <c r="G496" s="131"/>
      <c r="H496" s="131"/>
      <c r="I496" s="131"/>
      <c r="L496" s="135"/>
    </row>
    <row r="497" spans="3:12">
      <c r="C497" s="136"/>
      <c r="D497" s="121"/>
      <c r="E497" s="121"/>
      <c r="F497" s="51"/>
      <c r="G497" s="131"/>
      <c r="H497" s="131"/>
      <c r="I497" s="131"/>
      <c r="L497" s="135"/>
    </row>
    <row r="498" spans="3:12">
      <c r="C498" s="136"/>
      <c r="D498" s="121"/>
      <c r="E498" s="121"/>
      <c r="F498" s="51"/>
      <c r="G498" s="131"/>
      <c r="H498" s="131"/>
      <c r="I498" s="131"/>
      <c r="L498" s="135"/>
    </row>
    <row r="499" spans="3:12">
      <c r="C499" s="136"/>
      <c r="D499" s="121"/>
      <c r="E499" s="121"/>
      <c r="F499" s="51"/>
      <c r="G499" s="131"/>
      <c r="H499" s="131"/>
      <c r="I499" s="131"/>
      <c r="L499" s="135"/>
    </row>
    <row r="500" spans="3:12">
      <c r="C500" s="136"/>
      <c r="D500" s="121"/>
      <c r="E500" s="121"/>
      <c r="F500" s="51"/>
      <c r="G500" s="131"/>
      <c r="H500" s="131"/>
      <c r="I500" s="131"/>
      <c r="L500" s="135"/>
    </row>
    <row r="501" spans="3:12">
      <c r="C501" s="136"/>
      <c r="D501" s="121"/>
      <c r="E501" s="121"/>
      <c r="F501" s="51"/>
      <c r="G501" s="131"/>
      <c r="H501" s="131"/>
      <c r="I501" s="131"/>
      <c r="L501" s="135"/>
    </row>
    <row r="502" spans="3:12">
      <c r="C502" s="136"/>
      <c r="D502" s="121"/>
      <c r="E502" s="121"/>
      <c r="F502" s="51"/>
      <c r="G502" s="131"/>
      <c r="H502" s="131"/>
      <c r="I502" s="131"/>
      <c r="L502" s="135"/>
    </row>
    <row r="503" spans="3:12">
      <c r="C503" s="136"/>
      <c r="D503" s="121"/>
      <c r="E503" s="121"/>
      <c r="F503" s="51"/>
      <c r="G503" s="131"/>
      <c r="H503" s="131"/>
      <c r="I503" s="131"/>
      <c r="L503" s="135"/>
    </row>
    <row r="504" spans="3:12">
      <c r="C504" s="136"/>
      <c r="D504" s="121"/>
      <c r="E504" s="121"/>
      <c r="F504" s="51"/>
      <c r="G504" s="131"/>
      <c r="H504" s="131"/>
      <c r="I504" s="131"/>
      <c r="L504" s="135"/>
    </row>
    <row r="505" spans="3:12">
      <c r="C505" s="136"/>
      <c r="D505" s="121"/>
      <c r="E505" s="121"/>
      <c r="F505" s="51"/>
      <c r="G505" s="131"/>
      <c r="H505" s="131"/>
      <c r="I505" s="131"/>
      <c r="L505" s="135"/>
    </row>
    <row r="506" spans="3:12">
      <c r="C506" s="136"/>
      <c r="D506" s="121"/>
      <c r="E506" s="121"/>
      <c r="F506" s="51"/>
      <c r="G506" s="131"/>
      <c r="H506" s="131"/>
      <c r="I506" s="131"/>
      <c r="L506" s="135"/>
    </row>
    <row r="507" spans="3:12">
      <c r="C507" s="136"/>
      <c r="D507" s="121"/>
      <c r="E507" s="121"/>
      <c r="F507" s="51"/>
      <c r="G507" s="131"/>
      <c r="H507" s="131"/>
      <c r="I507" s="131"/>
      <c r="L507" s="135"/>
    </row>
    <row r="508" spans="3:12">
      <c r="C508" s="136"/>
      <c r="D508" s="121"/>
      <c r="E508" s="121"/>
      <c r="F508" s="51"/>
      <c r="G508" s="131"/>
      <c r="H508" s="131"/>
      <c r="I508" s="131"/>
      <c r="L508" s="135"/>
    </row>
    <row r="509" spans="3:12">
      <c r="C509" s="136"/>
      <c r="D509" s="121"/>
      <c r="E509" s="121"/>
      <c r="F509" s="51"/>
      <c r="G509" s="131"/>
      <c r="H509" s="131"/>
      <c r="I509" s="131"/>
      <c r="L509" s="135"/>
    </row>
    <row r="510" spans="3:12">
      <c r="C510" s="136"/>
      <c r="D510" s="121"/>
      <c r="E510" s="121"/>
      <c r="F510" s="51"/>
      <c r="G510" s="131"/>
      <c r="H510" s="131"/>
      <c r="I510" s="131"/>
      <c r="L510" s="135"/>
    </row>
    <row r="511" spans="3:12">
      <c r="C511" s="136"/>
      <c r="D511" s="121"/>
      <c r="E511" s="121"/>
      <c r="F511" s="51"/>
      <c r="G511" s="131"/>
      <c r="H511" s="131"/>
      <c r="I511" s="131"/>
      <c r="L511" s="135"/>
    </row>
    <row r="512" spans="3:12">
      <c r="C512" s="136"/>
      <c r="D512" s="121"/>
      <c r="E512" s="121"/>
      <c r="F512" s="51"/>
      <c r="G512" s="131"/>
      <c r="H512" s="131"/>
      <c r="I512" s="131"/>
      <c r="L512" s="135"/>
    </row>
    <row r="513" spans="3:12">
      <c r="C513" s="136"/>
      <c r="D513" s="121"/>
      <c r="E513" s="121"/>
      <c r="F513" s="51"/>
      <c r="G513" s="131"/>
      <c r="H513" s="131"/>
      <c r="I513" s="131"/>
      <c r="L513" s="135"/>
    </row>
    <row r="514" spans="3:12">
      <c r="C514" s="136"/>
      <c r="D514" s="121"/>
      <c r="E514" s="121"/>
      <c r="F514" s="51"/>
      <c r="G514" s="131"/>
      <c r="H514" s="131"/>
      <c r="I514" s="131"/>
      <c r="L514" s="135"/>
    </row>
    <row r="515" spans="3:12">
      <c r="C515" s="136"/>
      <c r="D515" s="121"/>
      <c r="E515" s="121"/>
      <c r="F515" s="51"/>
      <c r="G515" s="131"/>
      <c r="H515" s="131"/>
      <c r="I515" s="131"/>
      <c r="L515" s="135"/>
    </row>
    <row r="516" spans="3:12">
      <c r="C516" s="136"/>
      <c r="D516" s="121"/>
      <c r="E516" s="121"/>
      <c r="F516" s="51"/>
      <c r="G516" s="131"/>
      <c r="H516" s="131"/>
      <c r="I516" s="131"/>
      <c r="L516" s="135"/>
    </row>
    <row r="517" spans="3:12">
      <c r="C517" s="136"/>
      <c r="D517" s="121"/>
      <c r="E517" s="121"/>
      <c r="F517" s="51"/>
      <c r="G517" s="131"/>
      <c r="H517" s="131"/>
      <c r="I517" s="131"/>
      <c r="L517" s="135"/>
    </row>
    <row r="518" spans="3:12">
      <c r="C518" s="136"/>
      <c r="D518" s="121"/>
      <c r="E518" s="121"/>
      <c r="F518" s="51"/>
      <c r="G518" s="131"/>
      <c r="H518" s="131"/>
      <c r="I518" s="131"/>
      <c r="L518" s="135"/>
    </row>
    <row r="519" spans="3:12">
      <c r="C519" s="136"/>
      <c r="D519" s="121"/>
      <c r="E519" s="121"/>
      <c r="F519" s="51"/>
      <c r="G519" s="131"/>
      <c r="H519" s="131"/>
      <c r="I519" s="131"/>
      <c r="L519" s="135"/>
    </row>
    <row r="520" spans="3:12">
      <c r="C520" s="136"/>
      <c r="D520" s="121"/>
      <c r="E520" s="121"/>
      <c r="F520" s="51"/>
      <c r="G520" s="131"/>
      <c r="H520" s="131"/>
      <c r="I520" s="131"/>
      <c r="L520" s="135"/>
    </row>
    <row r="521" spans="3:12">
      <c r="C521" s="136"/>
      <c r="D521" s="121"/>
      <c r="E521" s="121"/>
      <c r="F521" s="51"/>
      <c r="G521" s="131"/>
      <c r="H521" s="131"/>
      <c r="I521" s="131"/>
      <c r="L521" s="135"/>
    </row>
    <row r="522" spans="3:12">
      <c r="C522" s="136"/>
      <c r="D522" s="121"/>
      <c r="E522" s="121"/>
      <c r="F522" s="51"/>
      <c r="G522" s="131"/>
      <c r="H522" s="131"/>
      <c r="I522" s="131"/>
      <c r="L522" s="135"/>
    </row>
    <row r="523" spans="3:12">
      <c r="C523" s="136"/>
      <c r="D523" s="121"/>
      <c r="E523" s="121"/>
      <c r="F523" s="51"/>
      <c r="G523" s="131"/>
      <c r="H523" s="131"/>
      <c r="I523" s="131"/>
      <c r="L523" s="135"/>
    </row>
    <row r="524" spans="3:12">
      <c r="C524" s="136"/>
      <c r="D524" s="121"/>
      <c r="E524" s="121"/>
      <c r="F524" s="51"/>
      <c r="G524" s="131"/>
      <c r="H524" s="131"/>
      <c r="I524" s="131"/>
      <c r="L524" s="135"/>
    </row>
    <row r="525" spans="3:12">
      <c r="C525" s="136"/>
      <c r="D525" s="121"/>
      <c r="E525" s="121"/>
      <c r="F525" s="51"/>
      <c r="G525" s="131"/>
      <c r="H525" s="131"/>
      <c r="I525" s="131"/>
      <c r="L525" s="135"/>
    </row>
    <row r="526" spans="3:12">
      <c r="C526" s="136"/>
      <c r="D526" s="121"/>
      <c r="E526" s="121"/>
      <c r="F526" s="51"/>
      <c r="G526" s="131"/>
      <c r="H526" s="131"/>
      <c r="I526" s="131"/>
      <c r="L526" s="135"/>
    </row>
    <row r="527" spans="3:12">
      <c r="C527" s="136"/>
      <c r="D527" s="121"/>
      <c r="E527" s="121"/>
      <c r="F527" s="51"/>
      <c r="G527" s="131"/>
      <c r="H527" s="131"/>
      <c r="I527" s="131"/>
      <c r="L527" s="135"/>
    </row>
    <row r="528" spans="3:12">
      <c r="C528" s="136"/>
      <c r="D528" s="121"/>
      <c r="E528" s="121"/>
      <c r="F528" s="51"/>
      <c r="G528" s="131"/>
      <c r="H528" s="131"/>
      <c r="I528" s="131"/>
      <c r="L528" s="135"/>
    </row>
    <row r="529" spans="3:12">
      <c r="C529" s="136"/>
      <c r="D529" s="121"/>
      <c r="E529" s="121"/>
      <c r="F529" s="51"/>
      <c r="G529" s="131"/>
      <c r="H529" s="131"/>
      <c r="I529" s="131"/>
      <c r="L529" s="135"/>
    </row>
    <row r="530" spans="3:12">
      <c r="C530" s="136"/>
      <c r="D530" s="121"/>
      <c r="E530" s="121"/>
      <c r="F530" s="51"/>
      <c r="G530" s="131"/>
      <c r="H530" s="131"/>
      <c r="I530" s="131"/>
      <c r="L530" s="135"/>
    </row>
    <row r="531" spans="3:12">
      <c r="C531" s="136"/>
      <c r="D531" s="121"/>
      <c r="E531" s="121"/>
      <c r="F531" s="51"/>
      <c r="G531" s="131"/>
      <c r="H531" s="131"/>
      <c r="I531" s="131"/>
      <c r="L531" s="135"/>
    </row>
    <row r="532" spans="3:12">
      <c r="C532" s="136"/>
      <c r="D532" s="121"/>
      <c r="E532" s="121"/>
      <c r="F532" s="51"/>
      <c r="G532" s="131"/>
      <c r="H532" s="131"/>
      <c r="I532" s="131"/>
      <c r="L532" s="135"/>
    </row>
    <row r="533" spans="3:12">
      <c r="C533" s="136"/>
      <c r="D533" s="121"/>
      <c r="E533" s="121"/>
      <c r="F533" s="51"/>
      <c r="G533" s="131"/>
      <c r="H533" s="131"/>
      <c r="I533" s="131"/>
      <c r="L533" s="135"/>
    </row>
    <row r="534" spans="3:12">
      <c r="C534" s="136"/>
      <c r="D534" s="121"/>
      <c r="E534" s="121"/>
      <c r="F534" s="51"/>
      <c r="G534" s="131"/>
      <c r="H534" s="131"/>
      <c r="I534" s="131"/>
      <c r="L534" s="135"/>
    </row>
    <row r="535" spans="3:12">
      <c r="C535" s="136"/>
      <c r="D535" s="121"/>
      <c r="E535" s="121"/>
      <c r="F535" s="51"/>
      <c r="G535" s="131"/>
      <c r="H535" s="131"/>
      <c r="I535" s="131"/>
      <c r="L535" s="135"/>
    </row>
    <row r="536" spans="3:12">
      <c r="C536" s="136"/>
      <c r="D536" s="121"/>
      <c r="E536" s="121"/>
      <c r="F536" s="51"/>
      <c r="G536" s="131"/>
      <c r="H536" s="131"/>
      <c r="I536" s="131"/>
      <c r="L536" s="135"/>
    </row>
    <row r="537" spans="3:12">
      <c r="C537" s="136"/>
      <c r="D537" s="121"/>
      <c r="E537" s="121"/>
      <c r="F537" s="51"/>
      <c r="G537" s="131"/>
      <c r="H537" s="131"/>
      <c r="I537" s="131"/>
      <c r="L537" s="135"/>
    </row>
    <row r="538" spans="3:12">
      <c r="C538" s="136"/>
      <c r="D538" s="121"/>
      <c r="E538" s="121"/>
      <c r="F538" s="51"/>
      <c r="G538" s="131"/>
      <c r="H538" s="131"/>
      <c r="I538" s="131"/>
      <c r="L538" s="135"/>
    </row>
    <row r="539" spans="3:12">
      <c r="C539" s="136"/>
      <c r="D539" s="121"/>
      <c r="E539" s="121"/>
      <c r="F539" s="51"/>
      <c r="G539" s="131"/>
      <c r="H539" s="131"/>
      <c r="I539" s="131"/>
      <c r="L539" s="135"/>
    </row>
    <row r="540" spans="3:12">
      <c r="C540" s="136"/>
      <c r="D540" s="121"/>
      <c r="E540" s="121"/>
      <c r="F540" s="51"/>
      <c r="G540" s="131"/>
      <c r="H540" s="131"/>
      <c r="I540" s="131"/>
      <c r="L540" s="135"/>
    </row>
    <row r="541" spans="3:12">
      <c r="C541" s="136"/>
      <c r="D541" s="121"/>
      <c r="E541" s="121"/>
      <c r="F541" s="51"/>
      <c r="G541" s="131"/>
      <c r="H541" s="131"/>
      <c r="I541" s="131"/>
      <c r="L541" s="135"/>
    </row>
    <row r="542" spans="3:12">
      <c r="C542" s="136"/>
      <c r="D542" s="121"/>
      <c r="E542" s="121"/>
      <c r="F542" s="51"/>
      <c r="G542" s="131"/>
      <c r="H542" s="131"/>
      <c r="I542" s="131"/>
      <c r="L542" s="135"/>
    </row>
    <row r="543" spans="3:12">
      <c r="C543" s="136"/>
      <c r="D543" s="121"/>
      <c r="E543" s="121"/>
      <c r="F543" s="51"/>
      <c r="G543" s="131"/>
      <c r="H543" s="131"/>
      <c r="I543" s="131"/>
      <c r="L543" s="135"/>
    </row>
    <row r="544" spans="3:12">
      <c r="C544" s="136"/>
      <c r="D544" s="121"/>
      <c r="E544" s="121"/>
      <c r="F544" s="51"/>
      <c r="G544" s="131"/>
      <c r="H544" s="131"/>
      <c r="I544" s="131"/>
      <c r="L544" s="135"/>
    </row>
    <row r="545" spans="3:12">
      <c r="C545" s="136"/>
      <c r="D545" s="121"/>
      <c r="E545" s="121"/>
      <c r="F545" s="51"/>
      <c r="G545" s="131"/>
      <c r="H545" s="131"/>
      <c r="I545" s="131"/>
      <c r="L545" s="135"/>
    </row>
    <row r="546" spans="3:12">
      <c r="C546" s="136"/>
      <c r="D546" s="121"/>
      <c r="E546" s="121"/>
      <c r="F546" s="51"/>
      <c r="G546" s="131"/>
      <c r="H546" s="131"/>
      <c r="I546" s="131"/>
      <c r="L546" s="135"/>
    </row>
    <row r="547" spans="3:12">
      <c r="C547" s="136"/>
      <c r="D547" s="121"/>
      <c r="E547" s="121"/>
      <c r="F547" s="51"/>
      <c r="G547" s="131"/>
      <c r="H547" s="131"/>
      <c r="I547" s="131"/>
      <c r="L547" s="135"/>
    </row>
    <row r="548" spans="3:12">
      <c r="C548" s="136"/>
      <c r="D548" s="121"/>
      <c r="E548" s="121"/>
      <c r="F548" s="51"/>
      <c r="G548" s="131"/>
      <c r="H548" s="131"/>
      <c r="I548" s="131"/>
      <c r="L548" s="135"/>
    </row>
    <row r="549" spans="3:12">
      <c r="C549" s="136"/>
      <c r="D549" s="121"/>
      <c r="E549" s="121"/>
      <c r="F549" s="51"/>
      <c r="G549" s="131"/>
      <c r="H549" s="131"/>
      <c r="I549" s="131"/>
      <c r="L549" s="135"/>
    </row>
    <row r="550" spans="3:12">
      <c r="C550" s="136"/>
      <c r="D550" s="121"/>
      <c r="E550" s="121"/>
      <c r="F550" s="51"/>
      <c r="G550" s="131"/>
      <c r="H550" s="131"/>
      <c r="I550" s="131"/>
      <c r="L550" s="135"/>
    </row>
    <row r="551" spans="3:12">
      <c r="C551" s="136"/>
      <c r="D551" s="121"/>
      <c r="E551" s="121"/>
      <c r="F551" s="51"/>
      <c r="G551" s="131"/>
      <c r="H551" s="131"/>
      <c r="I551" s="131"/>
      <c r="L551" s="135"/>
    </row>
    <row r="552" spans="3:12">
      <c r="C552" s="136"/>
      <c r="D552" s="121"/>
      <c r="E552" s="121"/>
      <c r="F552" s="51"/>
      <c r="G552" s="131"/>
      <c r="H552" s="131"/>
      <c r="I552" s="131"/>
      <c r="L552" s="135"/>
    </row>
    <row r="553" spans="3:12">
      <c r="C553" s="136"/>
      <c r="D553" s="121"/>
      <c r="E553" s="121"/>
      <c r="F553" s="51"/>
      <c r="G553" s="131"/>
      <c r="H553" s="131"/>
      <c r="I553" s="131"/>
      <c r="L553" s="135"/>
    </row>
    <row r="554" spans="3:12">
      <c r="C554" s="136"/>
      <c r="D554" s="121"/>
      <c r="E554" s="121"/>
      <c r="F554" s="51"/>
      <c r="G554" s="131"/>
      <c r="H554" s="131"/>
      <c r="I554" s="131"/>
      <c r="L554" s="135"/>
    </row>
    <row r="555" spans="3:12">
      <c r="C555" s="136"/>
      <c r="D555" s="121"/>
      <c r="E555" s="121"/>
      <c r="F555" s="51"/>
      <c r="G555" s="131"/>
      <c r="H555" s="131"/>
      <c r="I555" s="131"/>
      <c r="L555" s="135"/>
    </row>
    <row r="556" spans="3:12">
      <c r="C556" s="136"/>
      <c r="D556" s="121"/>
      <c r="E556" s="121"/>
      <c r="F556" s="51"/>
      <c r="G556" s="131"/>
      <c r="H556" s="131"/>
      <c r="I556" s="131"/>
      <c r="L556" s="135"/>
    </row>
    <row r="557" spans="3:12">
      <c r="C557" s="136"/>
      <c r="D557" s="121"/>
      <c r="E557" s="121"/>
      <c r="F557" s="51"/>
      <c r="G557" s="131"/>
      <c r="H557" s="131"/>
      <c r="I557" s="131"/>
      <c r="L557" s="135"/>
    </row>
    <row r="558" spans="3:12">
      <c r="C558" s="136"/>
      <c r="D558" s="121"/>
      <c r="E558" s="121"/>
      <c r="F558" s="51"/>
      <c r="G558" s="131"/>
      <c r="H558" s="131"/>
      <c r="I558" s="131"/>
      <c r="L558" s="135"/>
    </row>
    <row r="559" spans="3:12">
      <c r="C559" s="136"/>
      <c r="D559" s="121"/>
      <c r="E559" s="121"/>
      <c r="F559" s="51"/>
      <c r="G559" s="131"/>
      <c r="H559" s="131"/>
      <c r="I559" s="131"/>
      <c r="L559" s="135"/>
    </row>
    <row r="560" spans="3:12">
      <c r="C560" s="136"/>
      <c r="D560" s="121"/>
      <c r="E560" s="121"/>
      <c r="F560" s="51"/>
      <c r="G560" s="131"/>
      <c r="H560" s="131"/>
      <c r="I560" s="131"/>
      <c r="L560" s="135"/>
    </row>
    <row r="561" spans="3:12">
      <c r="C561" s="136"/>
      <c r="D561" s="121"/>
      <c r="E561" s="121"/>
      <c r="F561" s="51"/>
      <c r="G561" s="131"/>
      <c r="H561" s="131"/>
      <c r="I561" s="131"/>
      <c r="L561" s="135"/>
    </row>
    <row r="562" spans="3:12">
      <c r="C562" s="136"/>
      <c r="D562" s="121"/>
      <c r="E562" s="121"/>
      <c r="F562" s="51"/>
      <c r="G562" s="131"/>
      <c r="H562" s="131"/>
      <c r="I562" s="131"/>
      <c r="L562" s="135"/>
    </row>
    <row r="563" spans="3:12">
      <c r="C563" s="136"/>
      <c r="D563" s="121"/>
      <c r="E563" s="121"/>
      <c r="F563" s="51"/>
      <c r="G563" s="131"/>
      <c r="H563" s="131"/>
      <c r="I563" s="131"/>
      <c r="L563" s="135"/>
    </row>
    <row r="564" spans="3:12">
      <c r="C564" s="136"/>
      <c r="D564" s="121"/>
      <c r="E564" s="121"/>
      <c r="F564" s="51"/>
      <c r="G564" s="131"/>
      <c r="H564" s="131"/>
      <c r="I564" s="131"/>
      <c r="L564" s="135"/>
    </row>
    <row r="565" spans="3:12">
      <c r="C565" s="136"/>
      <c r="D565" s="121"/>
      <c r="E565" s="121"/>
      <c r="F565" s="51"/>
      <c r="G565" s="131"/>
      <c r="H565" s="131"/>
      <c r="I565" s="131"/>
      <c r="L565" s="135"/>
    </row>
    <row r="566" spans="3:12">
      <c r="C566" s="136"/>
      <c r="D566" s="121"/>
      <c r="E566" s="121"/>
      <c r="F566" s="51"/>
      <c r="G566" s="131"/>
      <c r="H566" s="131"/>
      <c r="I566" s="131"/>
      <c r="L566" s="135"/>
    </row>
    <row r="567" spans="3:12">
      <c r="C567" s="136"/>
      <c r="D567" s="121"/>
      <c r="E567" s="121"/>
      <c r="F567" s="51"/>
      <c r="G567" s="131"/>
      <c r="H567" s="131"/>
      <c r="I567" s="131"/>
      <c r="L567" s="135"/>
    </row>
    <row r="568" spans="3:12">
      <c r="C568" s="136"/>
      <c r="D568" s="121"/>
      <c r="E568" s="121"/>
      <c r="F568" s="51"/>
      <c r="G568" s="131"/>
      <c r="H568" s="131"/>
      <c r="I568" s="131"/>
      <c r="L568" s="135"/>
    </row>
    <row r="569" spans="3:12">
      <c r="C569" s="136"/>
      <c r="D569" s="121"/>
      <c r="E569" s="121"/>
      <c r="F569" s="51"/>
      <c r="G569" s="131"/>
      <c r="H569" s="131"/>
      <c r="I569" s="131"/>
      <c r="L569" s="135"/>
    </row>
    <row r="570" spans="3:12">
      <c r="C570" s="136"/>
      <c r="D570" s="121"/>
      <c r="E570" s="121"/>
      <c r="F570" s="51"/>
      <c r="G570" s="131"/>
      <c r="H570" s="131"/>
      <c r="I570" s="131"/>
      <c r="L570" s="135"/>
    </row>
    <row r="571" spans="3:12">
      <c r="C571" s="136"/>
      <c r="D571" s="121"/>
      <c r="E571" s="121"/>
      <c r="F571" s="51"/>
      <c r="G571" s="131"/>
      <c r="H571" s="131"/>
      <c r="I571" s="131"/>
      <c r="L571" s="135"/>
    </row>
    <row r="572" spans="3:12">
      <c r="C572" s="136"/>
      <c r="D572" s="121"/>
      <c r="E572" s="121"/>
      <c r="F572" s="51"/>
      <c r="G572" s="131"/>
      <c r="H572" s="131"/>
      <c r="I572" s="131"/>
      <c r="L572" s="135"/>
    </row>
    <row r="573" spans="3:12">
      <c r="C573" s="136"/>
      <c r="D573" s="121"/>
      <c r="E573" s="121"/>
      <c r="F573" s="51"/>
      <c r="G573" s="131"/>
      <c r="H573" s="131"/>
      <c r="I573" s="131"/>
      <c r="L573" s="135"/>
    </row>
    <row r="574" spans="3:12">
      <c r="C574" s="136"/>
      <c r="D574" s="121"/>
      <c r="E574" s="121"/>
      <c r="F574" s="51"/>
      <c r="G574" s="131"/>
      <c r="H574" s="131"/>
      <c r="I574" s="131"/>
      <c r="L574" s="135"/>
    </row>
    <row r="575" spans="3:12">
      <c r="C575" s="136"/>
      <c r="D575" s="121"/>
      <c r="E575" s="121"/>
      <c r="F575" s="51"/>
      <c r="G575" s="131"/>
      <c r="H575" s="131"/>
      <c r="I575" s="131"/>
      <c r="L575" s="135"/>
    </row>
    <row r="576" spans="3:12">
      <c r="C576" s="136"/>
      <c r="D576" s="121"/>
      <c r="E576" s="121"/>
      <c r="F576" s="51"/>
      <c r="G576" s="131"/>
      <c r="H576" s="131"/>
      <c r="I576" s="131"/>
      <c r="L576" s="135"/>
    </row>
    <row r="577" spans="3:12">
      <c r="C577" s="136"/>
      <c r="D577" s="121"/>
      <c r="E577" s="121"/>
      <c r="F577" s="51"/>
      <c r="G577" s="131"/>
      <c r="H577" s="131"/>
      <c r="I577" s="131"/>
      <c r="L577" s="135"/>
    </row>
    <row r="578" spans="3:12">
      <c r="C578" s="136"/>
      <c r="D578" s="121"/>
      <c r="E578" s="121"/>
      <c r="F578" s="51"/>
      <c r="G578" s="131"/>
      <c r="H578" s="131"/>
      <c r="I578" s="131"/>
      <c r="L578" s="135"/>
    </row>
    <row r="579" spans="3:12">
      <c r="C579" s="136"/>
      <c r="D579" s="121"/>
      <c r="E579" s="121"/>
      <c r="F579" s="51"/>
      <c r="G579" s="131"/>
      <c r="H579" s="131"/>
      <c r="I579" s="131"/>
      <c r="L579" s="135"/>
    </row>
    <row r="580" spans="3:12">
      <c r="C580" s="136"/>
      <c r="D580" s="121"/>
      <c r="E580" s="121"/>
      <c r="F580" s="51"/>
      <c r="G580" s="131"/>
      <c r="H580" s="131"/>
      <c r="I580" s="131"/>
      <c r="L580" s="135"/>
    </row>
    <row r="581" spans="3:12">
      <c r="C581" s="136"/>
      <c r="D581" s="121"/>
      <c r="E581" s="121"/>
      <c r="F581" s="51"/>
      <c r="G581" s="131"/>
      <c r="H581" s="131"/>
      <c r="I581" s="131"/>
      <c r="L581" s="135"/>
    </row>
    <row r="582" spans="3:12">
      <c r="C582" s="136"/>
      <c r="D582" s="121"/>
      <c r="E582" s="121"/>
      <c r="F582" s="51"/>
      <c r="G582" s="131"/>
      <c r="H582" s="131"/>
      <c r="I582" s="131"/>
      <c r="L582" s="135"/>
    </row>
    <row r="583" spans="3:12">
      <c r="C583" s="136"/>
      <c r="D583" s="121"/>
      <c r="E583" s="121"/>
      <c r="F583" s="51"/>
      <c r="G583" s="131"/>
      <c r="H583" s="131"/>
      <c r="I583" s="131"/>
      <c r="L583" s="135"/>
    </row>
    <row r="584" spans="3:12">
      <c r="C584" s="136"/>
      <c r="D584" s="121"/>
      <c r="E584" s="121"/>
      <c r="F584" s="51"/>
      <c r="G584" s="131"/>
      <c r="H584" s="131"/>
      <c r="I584" s="131"/>
      <c r="L584" s="135"/>
    </row>
    <row r="585" spans="3:12">
      <c r="C585" s="136"/>
      <c r="D585" s="121"/>
      <c r="E585" s="121"/>
      <c r="F585" s="51"/>
      <c r="G585" s="131"/>
      <c r="H585" s="131"/>
      <c r="I585" s="131"/>
      <c r="L585" s="135"/>
    </row>
    <row r="586" spans="3:12">
      <c r="C586" s="136"/>
      <c r="D586" s="121"/>
      <c r="E586" s="121"/>
      <c r="F586" s="51"/>
      <c r="G586" s="131"/>
      <c r="H586" s="131"/>
      <c r="I586" s="131"/>
      <c r="L586" s="135"/>
    </row>
    <row r="587" spans="3:12">
      <c r="C587" s="136"/>
      <c r="D587" s="121"/>
      <c r="E587" s="121"/>
      <c r="F587" s="51"/>
      <c r="G587" s="131"/>
      <c r="H587" s="131"/>
      <c r="I587" s="131"/>
      <c r="L587" s="135"/>
    </row>
    <row r="588" spans="3:12">
      <c r="C588" s="136"/>
      <c r="D588" s="121"/>
      <c r="E588" s="121"/>
      <c r="F588" s="51"/>
      <c r="G588" s="131"/>
      <c r="H588" s="131"/>
      <c r="I588" s="131"/>
      <c r="L588" s="135"/>
    </row>
    <row r="589" spans="3:12">
      <c r="C589" s="136"/>
      <c r="D589" s="121"/>
      <c r="E589" s="121"/>
      <c r="F589" s="51"/>
      <c r="G589" s="131"/>
      <c r="H589" s="131"/>
      <c r="I589" s="131"/>
      <c r="L589" s="135"/>
    </row>
    <row r="590" spans="3:12">
      <c r="C590" s="136"/>
      <c r="D590" s="121"/>
      <c r="E590" s="121"/>
      <c r="F590" s="51"/>
      <c r="G590" s="131"/>
      <c r="H590" s="131"/>
      <c r="I590" s="131"/>
      <c r="L590" s="135"/>
    </row>
    <row r="591" spans="3:12">
      <c r="C591" s="136"/>
      <c r="D591" s="121"/>
      <c r="E591" s="121"/>
      <c r="F591" s="51"/>
      <c r="G591" s="131"/>
      <c r="H591" s="131"/>
      <c r="I591" s="131"/>
      <c r="L591" s="135"/>
    </row>
    <row r="592" spans="3:12">
      <c r="C592" s="136"/>
      <c r="D592" s="121"/>
      <c r="E592" s="121"/>
      <c r="F592" s="51"/>
      <c r="G592" s="131"/>
      <c r="H592" s="131"/>
      <c r="I592" s="131"/>
      <c r="L592" s="135"/>
    </row>
    <row r="593" spans="3:12">
      <c r="C593" s="136"/>
      <c r="D593" s="121"/>
      <c r="E593" s="121"/>
      <c r="F593" s="51"/>
      <c r="G593" s="131"/>
      <c r="H593" s="131"/>
      <c r="I593" s="131"/>
      <c r="L593" s="135"/>
    </row>
    <row r="594" spans="3:12">
      <c r="C594" s="136"/>
      <c r="D594" s="121"/>
      <c r="E594" s="121"/>
      <c r="F594" s="51"/>
      <c r="G594" s="131"/>
      <c r="H594" s="131"/>
      <c r="I594" s="131"/>
      <c r="L594" s="135"/>
    </row>
    <row r="595" spans="3:12">
      <c r="C595" s="136"/>
      <c r="D595" s="121"/>
      <c r="E595" s="121"/>
      <c r="F595" s="51"/>
      <c r="G595" s="131"/>
      <c r="H595" s="131"/>
      <c r="I595" s="131"/>
      <c r="L595" s="135"/>
    </row>
    <row r="596" spans="3:12">
      <c r="C596" s="136"/>
      <c r="D596" s="121"/>
      <c r="E596" s="121"/>
      <c r="F596" s="51"/>
      <c r="G596" s="131"/>
      <c r="H596" s="131"/>
      <c r="I596" s="131"/>
      <c r="L596" s="135"/>
    </row>
    <row r="597" spans="3:12">
      <c r="C597" s="136"/>
      <c r="D597" s="121"/>
      <c r="E597" s="121"/>
      <c r="F597" s="51"/>
      <c r="G597" s="131"/>
      <c r="H597" s="131"/>
      <c r="I597" s="131"/>
      <c r="L597" s="135"/>
    </row>
    <row r="598" spans="3:12">
      <c r="C598" s="136"/>
      <c r="D598" s="121"/>
      <c r="E598" s="121"/>
      <c r="F598" s="51"/>
      <c r="G598" s="131"/>
      <c r="H598" s="131"/>
      <c r="I598" s="131"/>
      <c r="L598" s="135"/>
    </row>
    <row r="599" spans="3:12">
      <c r="C599" s="136"/>
      <c r="D599" s="121"/>
      <c r="E599" s="121"/>
      <c r="F599" s="51"/>
      <c r="G599" s="131"/>
      <c r="H599" s="131"/>
      <c r="I599" s="131"/>
      <c r="L599" s="135"/>
    </row>
    <row r="600" spans="3:12">
      <c r="C600" s="136"/>
      <c r="D600" s="121"/>
      <c r="E600" s="121"/>
      <c r="F600" s="51"/>
      <c r="G600" s="131"/>
      <c r="H600" s="131"/>
      <c r="I600" s="131"/>
      <c r="L600" s="135"/>
    </row>
    <row r="601" spans="3:12">
      <c r="C601" s="136"/>
      <c r="D601" s="121"/>
      <c r="E601" s="121"/>
      <c r="F601" s="51"/>
      <c r="G601" s="131"/>
      <c r="H601" s="131"/>
      <c r="I601" s="131"/>
      <c r="L601" s="135"/>
    </row>
    <row r="602" spans="3:12">
      <c r="C602" s="136"/>
      <c r="D602" s="121"/>
      <c r="E602" s="121"/>
      <c r="F602" s="51"/>
      <c r="G602" s="131"/>
      <c r="H602" s="131"/>
      <c r="I602" s="131"/>
      <c r="L602" s="135"/>
    </row>
    <row r="603" spans="3:12">
      <c r="C603" s="136"/>
      <c r="D603" s="121"/>
      <c r="E603" s="121"/>
      <c r="F603" s="51"/>
      <c r="G603" s="131"/>
      <c r="H603" s="131"/>
      <c r="I603" s="131"/>
      <c r="L603" s="135"/>
    </row>
    <row r="604" spans="3:12">
      <c r="C604" s="136"/>
      <c r="D604" s="121"/>
      <c r="E604" s="121"/>
      <c r="F604" s="51"/>
      <c r="G604" s="131"/>
      <c r="H604" s="131"/>
      <c r="I604" s="131"/>
      <c r="L604" s="135"/>
    </row>
    <row r="605" spans="3:12">
      <c r="C605" s="136"/>
      <c r="D605" s="121"/>
      <c r="E605" s="121"/>
      <c r="F605" s="51"/>
      <c r="G605" s="131"/>
      <c r="H605" s="131"/>
      <c r="I605" s="131"/>
      <c r="L605" s="135"/>
    </row>
    <row r="606" spans="3:12">
      <c r="C606" s="136"/>
      <c r="D606" s="121"/>
      <c r="E606" s="121"/>
      <c r="F606" s="51"/>
      <c r="G606" s="131"/>
      <c r="H606" s="131"/>
      <c r="I606" s="131"/>
      <c r="L606" s="135"/>
    </row>
    <row r="607" spans="3:12">
      <c r="C607" s="136"/>
      <c r="D607" s="121"/>
      <c r="E607" s="121"/>
      <c r="F607" s="51"/>
      <c r="G607" s="131"/>
      <c r="H607" s="131"/>
      <c r="I607" s="131"/>
      <c r="L607" s="135"/>
    </row>
    <row r="608" spans="3:12">
      <c r="C608" s="136"/>
      <c r="D608" s="121"/>
      <c r="E608" s="121"/>
      <c r="F608" s="51"/>
      <c r="G608" s="131"/>
      <c r="H608" s="131"/>
      <c r="I608" s="131"/>
      <c r="L608" s="135"/>
    </row>
    <row r="609" spans="3:12">
      <c r="C609" s="136"/>
      <c r="D609" s="121"/>
      <c r="E609" s="121"/>
      <c r="F609" s="51"/>
      <c r="G609" s="131"/>
      <c r="H609" s="131"/>
      <c r="I609" s="131"/>
      <c r="L609" s="135"/>
    </row>
    <row r="610" spans="3:12">
      <c r="C610" s="136"/>
      <c r="D610" s="121"/>
      <c r="E610" s="121"/>
      <c r="F610" s="51"/>
      <c r="G610" s="131"/>
      <c r="H610" s="131"/>
      <c r="I610" s="131"/>
      <c r="L610" s="135"/>
    </row>
    <row r="611" spans="3:12">
      <c r="C611" s="136"/>
      <c r="D611" s="121"/>
      <c r="E611" s="121"/>
      <c r="F611" s="51"/>
      <c r="G611" s="131"/>
      <c r="H611" s="131"/>
      <c r="I611" s="131"/>
      <c r="L611" s="135"/>
    </row>
    <row r="612" spans="3:12">
      <c r="C612" s="136"/>
      <c r="D612" s="121"/>
      <c r="E612" s="121"/>
      <c r="F612" s="51"/>
      <c r="G612" s="131"/>
      <c r="H612" s="131"/>
      <c r="I612" s="131"/>
      <c r="L612" s="135"/>
    </row>
    <row r="613" spans="3:12">
      <c r="C613" s="136"/>
      <c r="D613" s="121"/>
      <c r="E613" s="121"/>
      <c r="F613" s="51"/>
      <c r="G613" s="131"/>
      <c r="H613" s="131"/>
      <c r="I613" s="131"/>
      <c r="L613" s="135"/>
    </row>
    <row r="614" spans="3:12">
      <c r="C614" s="136"/>
      <c r="D614" s="121"/>
      <c r="E614" s="121"/>
      <c r="F614" s="51"/>
      <c r="G614" s="131"/>
      <c r="H614" s="131"/>
      <c r="I614" s="131"/>
      <c r="L614" s="135"/>
    </row>
    <row r="615" spans="3:12">
      <c r="C615" s="136"/>
      <c r="D615" s="121"/>
      <c r="E615" s="121"/>
      <c r="F615" s="51"/>
      <c r="G615" s="131"/>
      <c r="H615" s="131"/>
      <c r="I615" s="131"/>
      <c r="L615" s="135"/>
    </row>
    <row r="616" spans="3:12">
      <c r="C616" s="136"/>
      <c r="D616" s="121"/>
      <c r="E616" s="121"/>
      <c r="F616" s="51"/>
      <c r="G616" s="131"/>
      <c r="H616" s="131"/>
      <c r="I616" s="131"/>
      <c r="L616" s="135"/>
    </row>
    <row r="617" spans="3:12">
      <c r="C617" s="136"/>
      <c r="D617" s="121"/>
      <c r="E617" s="121"/>
      <c r="F617" s="51"/>
      <c r="G617" s="131"/>
      <c r="H617" s="131"/>
      <c r="I617" s="131"/>
      <c r="L617" s="135"/>
    </row>
    <row r="618" spans="3:12">
      <c r="C618" s="136"/>
      <c r="D618" s="121"/>
      <c r="E618" s="121"/>
      <c r="F618" s="51"/>
      <c r="G618" s="131"/>
      <c r="H618" s="131"/>
      <c r="I618" s="131"/>
      <c r="L618" s="135"/>
    </row>
    <row r="619" spans="3:12">
      <c r="C619" s="136"/>
      <c r="D619" s="121"/>
      <c r="E619" s="121"/>
      <c r="F619" s="51"/>
      <c r="G619" s="131"/>
      <c r="H619" s="131"/>
      <c r="I619" s="131"/>
      <c r="L619" s="135"/>
    </row>
    <row r="620" spans="3:12">
      <c r="C620" s="136"/>
      <c r="D620" s="121"/>
      <c r="E620" s="121"/>
      <c r="F620" s="51"/>
      <c r="G620" s="131"/>
      <c r="H620" s="131"/>
      <c r="I620" s="131"/>
      <c r="L620" s="135"/>
    </row>
    <row r="621" spans="3:12">
      <c r="C621" s="136"/>
      <c r="D621" s="121"/>
      <c r="E621" s="121"/>
      <c r="F621" s="51"/>
      <c r="G621" s="131"/>
      <c r="H621" s="131"/>
      <c r="I621" s="131"/>
      <c r="L621" s="135"/>
    </row>
    <row r="622" spans="3:12">
      <c r="C622" s="136"/>
      <c r="D622" s="121"/>
      <c r="E622" s="121"/>
      <c r="F622" s="51"/>
      <c r="G622" s="131"/>
      <c r="H622" s="131"/>
      <c r="I622" s="131"/>
      <c r="L622" s="135"/>
    </row>
    <row r="623" spans="3:12">
      <c r="C623" s="136"/>
      <c r="D623" s="121"/>
      <c r="E623" s="121"/>
      <c r="F623" s="51"/>
      <c r="G623" s="131"/>
      <c r="H623" s="131"/>
      <c r="I623" s="131"/>
      <c r="L623" s="135"/>
    </row>
    <row r="624" spans="3:12">
      <c r="C624" s="136"/>
      <c r="D624" s="121"/>
      <c r="E624" s="121"/>
      <c r="F624" s="51"/>
      <c r="G624" s="131"/>
      <c r="H624" s="131"/>
      <c r="I624" s="131"/>
      <c r="L624" s="135"/>
    </row>
    <row r="625" spans="3:12">
      <c r="C625" s="136"/>
      <c r="D625" s="121"/>
      <c r="E625" s="121"/>
      <c r="F625" s="51"/>
      <c r="G625" s="131"/>
      <c r="H625" s="131"/>
      <c r="I625" s="131"/>
      <c r="L625" s="135"/>
    </row>
    <row r="626" spans="3:12">
      <c r="C626" s="136"/>
      <c r="D626" s="121"/>
      <c r="E626" s="121"/>
      <c r="F626" s="51"/>
      <c r="G626" s="131"/>
      <c r="H626" s="131"/>
      <c r="I626" s="131"/>
      <c r="L626" s="135"/>
    </row>
    <row r="627" spans="3:12">
      <c r="C627" s="136"/>
      <c r="D627" s="121"/>
      <c r="E627" s="121"/>
      <c r="F627" s="51"/>
      <c r="G627" s="131"/>
      <c r="H627" s="131"/>
      <c r="I627" s="131"/>
      <c r="L627" s="135"/>
    </row>
    <row r="628" spans="3:12">
      <c r="C628" s="136"/>
      <c r="D628" s="121"/>
      <c r="E628" s="121"/>
      <c r="F628" s="51"/>
      <c r="G628" s="131"/>
      <c r="H628" s="131"/>
      <c r="I628" s="131"/>
      <c r="L628" s="135"/>
    </row>
    <row r="629" spans="3:12">
      <c r="C629" s="136"/>
      <c r="D629" s="121"/>
      <c r="E629" s="121"/>
      <c r="F629" s="51"/>
      <c r="G629" s="131"/>
      <c r="H629" s="131"/>
      <c r="I629" s="131"/>
      <c r="L629" s="135"/>
    </row>
    <row r="630" spans="3:12">
      <c r="C630" s="136"/>
      <c r="D630" s="121"/>
      <c r="E630" s="121"/>
      <c r="F630" s="51"/>
      <c r="G630" s="131"/>
      <c r="H630" s="131"/>
      <c r="I630" s="131"/>
      <c r="L630" s="135"/>
    </row>
    <row r="631" spans="3:12">
      <c r="C631" s="136"/>
      <c r="D631" s="121"/>
      <c r="E631" s="121"/>
      <c r="F631" s="51"/>
      <c r="G631" s="131"/>
      <c r="H631" s="131"/>
      <c r="I631" s="131"/>
      <c r="L631" s="135"/>
    </row>
    <row r="632" spans="3:12">
      <c r="C632" s="136"/>
      <c r="D632" s="121"/>
      <c r="E632" s="121"/>
      <c r="F632" s="51"/>
      <c r="G632" s="131"/>
      <c r="H632" s="131"/>
      <c r="I632" s="131"/>
      <c r="L632" s="135"/>
    </row>
    <row r="633" spans="3:12">
      <c r="C633" s="136"/>
      <c r="D633" s="121"/>
      <c r="E633" s="121"/>
      <c r="F633" s="51"/>
      <c r="G633" s="131"/>
      <c r="H633" s="131"/>
      <c r="I633" s="131"/>
      <c r="L633" s="135"/>
    </row>
    <row r="634" spans="3:12">
      <c r="C634" s="136"/>
      <c r="D634" s="121"/>
      <c r="E634" s="121"/>
      <c r="F634" s="51"/>
      <c r="G634" s="131"/>
      <c r="H634" s="131"/>
      <c r="I634" s="131"/>
      <c r="L634" s="135"/>
    </row>
    <row r="635" spans="3:12">
      <c r="C635" s="136"/>
      <c r="D635" s="121"/>
      <c r="E635" s="121"/>
      <c r="F635" s="51"/>
      <c r="G635" s="131"/>
      <c r="H635" s="131"/>
      <c r="I635" s="131"/>
      <c r="L635" s="135"/>
    </row>
    <row r="636" spans="3:12">
      <c r="C636" s="136"/>
      <c r="D636" s="121"/>
      <c r="E636" s="121"/>
      <c r="F636" s="51"/>
      <c r="G636" s="131"/>
      <c r="H636" s="131"/>
      <c r="I636" s="131"/>
      <c r="L636" s="135"/>
    </row>
    <row r="637" spans="3:12">
      <c r="C637" s="136"/>
      <c r="D637" s="121"/>
      <c r="E637" s="121"/>
      <c r="F637" s="51"/>
      <c r="G637" s="131"/>
      <c r="H637" s="131"/>
      <c r="I637" s="131"/>
      <c r="L637" s="135"/>
    </row>
    <row r="638" spans="3:12">
      <c r="C638" s="136"/>
      <c r="D638" s="121"/>
      <c r="E638" s="121"/>
      <c r="F638" s="51"/>
      <c r="G638" s="131"/>
      <c r="H638" s="131"/>
      <c r="I638" s="131"/>
      <c r="L638" s="135"/>
    </row>
    <row r="639" spans="3:12">
      <c r="C639" s="136"/>
      <c r="D639" s="121"/>
      <c r="E639" s="121"/>
      <c r="F639" s="51"/>
      <c r="G639" s="131"/>
      <c r="H639" s="131"/>
      <c r="I639" s="131"/>
      <c r="L639" s="135"/>
    </row>
    <row r="640" spans="3:12">
      <c r="C640" s="136"/>
      <c r="D640" s="121"/>
      <c r="E640" s="121"/>
      <c r="F640" s="51"/>
      <c r="G640" s="131"/>
      <c r="H640" s="131"/>
      <c r="I640" s="131"/>
      <c r="L640" s="135"/>
    </row>
    <row r="641" spans="3:12">
      <c r="C641" s="136"/>
      <c r="D641" s="121"/>
      <c r="E641" s="121"/>
      <c r="F641" s="51"/>
      <c r="G641" s="131"/>
      <c r="H641" s="131"/>
      <c r="I641" s="131"/>
      <c r="L641" s="135"/>
    </row>
    <row r="642" spans="3:12">
      <c r="C642" s="136"/>
      <c r="D642" s="121"/>
      <c r="E642" s="121"/>
      <c r="F642" s="51"/>
      <c r="G642" s="131"/>
      <c r="H642" s="131"/>
      <c r="I642" s="131"/>
      <c r="L642" s="135"/>
    </row>
    <row r="643" spans="3:12">
      <c r="C643" s="136"/>
      <c r="D643" s="121"/>
      <c r="E643" s="121"/>
      <c r="F643" s="51"/>
      <c r="G643" s="131"/>
      <c r="H643" s="131"/>
      <c r="I643" s="131"/>
      <c r="L643" s="135"/>
    </row>
    <row r="644" spans="3:12">
      <c r="C644" s="136"/>
      <c r="D644" s="121"/>
      <c r="E644" s="121"/>
      <c r="F644" s="51"/>
      <c r="G644" s="131"/>
      <c r="H644" s="131"/>
      <c r="I644" s="131"/>
      <c r="L644" s="135"/>
    </row>
    <row r="645" spans="3:12">
      <c r="C645" s="136"/>
      <c r="D645" s="121"/>
      <c r="E645" s="121"/>
      <c r="F645" s="51"/>
      <c r="G645" s="131"/>
      <c r="H645" s="131"/>
      <c r="I645" s="131"/>
      <c r="L645" s="135"/>
    </row>
    <row r="646" spans="3:12">
      <c r="C646" s="136"/>
      <c r="D646" s="121"/>
      <c r="E646" s="121"/>
      <c r="F646" s="51"/>
      <c r="G646" s="131"/>
      <c r="H646" s="131"/>
      <c r="I646" s="131"/>
      <c r="L646" s="135"/>
    </row>
    <row r="647" spans="3:12">
      <c r="C647" s="136"/>
      <c r="D647" s="121"/>
      <c r="E647" s="121"/>
      <c r="F647" s="51"/>
      <c r="G647" s="131"/>
      <c r="H647" s="131"/>
      <c r="I647" s="131"/>
      <c r="L647" s="135"/>
    </row>
    <row r="648" spans="3:12">
      <c r="C648" s="136"/>
      <c r="D648" s="121"/>
      <c r="E648" s="121"/>
      <c r="F648" s="51"/>
      <c r="G648" s="131"/>
      <c r="H648" s="131"/>
      <c r="I648" s="131"/>
      <c r="L648" s="135"/>
    </row>
    <row r="649" spans="3:12">
      <c r="C649" s="136"/>
      <c r="D649" s="121"/>
      <c r="E649" s="121"/>
      <c r="F649" s="51"/>
      <c r="G649" s="131"/>
      <c r="H649" s="131"/>
      <c r="I649" s="131"/>
      <c r="L649" s="135"/>
    </row>
    <row r="650" spans="3:12">
      <c r="C650" s="136"/>
      <c r="D650" s="121"/>
      <c r="E650" s="121"/>
      <c r="F650" s="51"/>
      <c r="G650" s="131"/>
      <c r="H650" s="131"/>
      <c r="I650" s="131"/>
      <c r="L650" s="135"/>
    </row>
    <row r="651" spans="3:12">
      <c r="C651" s="136"/>
      <c r="D651" s="121"/>
      <c r="E651" s="121"/>
      <c r="F651" s="51"/>
      <c r="G651" s="131"/>
      <c r="H651" s="131"/>
      <c r="I651" s="131"/>
      <c r="L651" s="135"/>
    </row>
    <row r="652" spans="3:12">
      <c r="C652" s="136"/>
      <c r="D652" s="121"/>
      <c r="E652" s="121"/>
      <c r="F652" s="51"/>
      <c r="G652" s="131"/>
      <c r="H652" s="131"/>
      <c r="I652" s="131"/>
      <c r="L652" s="135"/>
    </row>
    <row r="653" spans="3:12">
      <c r="C653" s="136"/>
      <c r="D653" s="121"/>
      <c r="E653" s="121"/>
      <c r="F653" s="51"/>
      <c r="G653" s="131"/>
      <c r="H653" s="131"/>
      <c r="I653" s="131"/>
      <c r="L653" s="135"/>
    </row>
    <row r="654" spans="3:12">
      <c r="C654" s="136"/>
      <c r="D654" s="121"/>
      <c r="E654" s="121"/>
      <c r="F654" s="51"/>
      <c r="G654" s="131"/>
      <c r="H654" s="131"/>
      <c r="I654" s="131"/>
      <c r="L654" s="135"/>
    </row>
    <row r="655" spans="3:12">
      <c r="C655" s="136"/>
      <c r="D655" s="121"/>
      <c r="E655" s="121"/>
      <c r="F655" s="51"/>
      <c r="G655" s="131"/>
      <c r="H655" s="131"/>
      <c r="I655" s="131"/>
      <c r="L655" s="135"/>
    </row>
    <row r="656" spans="3:12">
      <c r="C656" s="136"/>
      <c r="D656" s="121"/>
      <c r="E656" s="121"/>
      <c r="F656" s="51"/>
      <c r="G656" s="131"/>
      <c r="H656" s="131"/>
      <c r="I656" s="131"/>
      <c r="L656" s="135"/>
    </row>
    <row r="657" spans="3:12">
      <c r="C657" s="136"/>
      <c r="D657" s="121"/>
      <c r="E657" s="121"/>
      <c r="F657" s="51"/>
      <c r="G657" s="131"/>
      <c r="H657" s="131"/>
      <c r="I657" s="131"/>
      <c r="L657" s="135"/>
    </row>
    <row r="658" spans="3:12">
      <c r="C658" s="136"/>
      <c r="D658" s="121"/>
      <c r="E658" s="121"/>
      <c r="F658" s="51"/>
      <c r="G658" s="131"/>
      <c r="H658" s="131"/>
      <c r="I658" s="131"/>
      <c r="L658" s="135"/>
    </row>
    <row r="659" spans="3:12">
      <c r="C659" s="136"/>
      <c r="D659" s="121"/>
      <c r="E659" s="121"/>
      <c r="F659" s="51"/>
      <c r="G659" s="131"/>
      <c r="H659" s="131"/>
      <c r="I659" s="131"/>
      <c r="L659" s="135"/>
    </row>
    <row r="660" spans="3:12">
      <c r="C660" s="136"/>
      <c r="D660" s="121"/>
      <c r="E660" s="121"/>
      <c r="F660" s="51"/>
      <c r="G660" s="131"/>
      <c r="H660" s="131"/>
      <c r="I660" s="131"/>
      <c r="L660" s="135"/>
    </row>
    <row r="661" spans="3:12">
      <c r="C661" s="136"/>
      <c r="D661" s="121"/>
      <c r="E661" s="121"/>
      <c r="F661" s="51"/>
      <c r="G661" s="131"/>
      <c r="H661" s="131"/>
      <c r="I661" s="131"/>
      <c r="L661" s="135"/>
    </row>
    <row r="662" spans="3:12">
      <c r="C662" s="136"/>
      <c r="D662" s="121"/>
      <c r="E662" s="121"/>
      <c r="F662" s="51"/>
      <c r="G662" s="131"/>
      <c r="H662" s="131"/>
      <c r="I662" s="131"/>
      <c r="L662" s="135"/>
    </row>
    <row r="663" spans="3:12">
      <c r="C663" s="136"/>
      <c r="D663" s="121"/>
      <c r="E663" s="121"/>
      <c r="F663" s="51"/>
      <c r="G663" s="131"/>
      <c r="H663" s="131"/>
      <c r="I663" s="131"/>
      <c r="L663" s="135"/>
    </row>
    <row r="664" spans="3:12">
      <c r="C664" s="136"/>
      <c r="D664" s="121"/>
      <c r="E664" s="121"/>
      <c r="F664" s="51"/>
      <c r="G664" s="131"/>
      <c r="H664" s="131"/>
      <c r="I664" s="131"/>
      <c r="L664" s="135"/>
    </row>
    <row r="665" spans="3:12">
      <c r="C665" s="136"/>
      <c r="D665" s="121"/>
      <c r="E665" s="121"/>
      <c r="F665" s="51"/>
      <c r="G665" s="131"/>
      <c r="H665" s="131"/>
      <c r="I665" s="131"/>
      <c r="L665" s="135"/>
    </row>
    <row r="666" spans="3:12">
      <c r="C666" s="136"/>
      <c r="D666" s="121"/>
      <c r="E666" s="121"/>
      <c r="F666" s="51"/>
      <c r="G666" s="131"/>
      <c r="H666" s="131"/>
      <c r="I666" s="131"/>
      <c r="L666" s="135"/>
    </row>
    <row r="667" spans="3:12">
      <c r="C667" s="136"/>
      <c r="D667" s="121"/>
      <c r="E667" s="121"/>
      <c r="F667" s="51"/>
      <c r="G667" s="131"/>
      <c r="H667" s="131"/>
      <c r="I667" s="131"/>
      <c r="L667" s="135"/>
    </row>
    <row r="668" spans="3:12">
      <c r="C668" s="136"/>
      <c r="D668" s="121"/>
      <c r="E668" s="121"/>
      <c r="F668" s="51"/>
      <c r="G668" s="131"/>
      <c r="H668" s="131"/>
      <c r="I668" s="131"/>
      <c r="L668" s="135"/>
    </row>
    <row r="669" spans="3:12">
      <c r="C669" s="136"/>
      <c r="D669" s="121"/>
      <c r="E669" s="121"/>
      <c r="F669" s="51"/>
      <c r="G669" s="131"/>
      <c r="H669" s="131"/>
      <c r="I669" s="131"/>
      <c r="L669" s="135"/>
    </row>
    <row r="670" spans="3:12">
      <c r="C670" s="136"/>
      <c r="D670" s="121"/>
      <c r="E670" s="121"/>
      <c r="F670" s="51"/>
      <c r="G670" s="131"/>
      <c r="H670" s="131"/>
      <c r="I670" s="131"/>
      <c r="L670" s="135"/>
    </row>
    <row r="671" spans="3:12">
      <c r="C671" s="136"/>
      <c r="D671" s="121"/>
      <c r="E671" s="121"/>
      <c r="F671" s="51"/>
      <c r="G671" s="131"/>
      <c r="H671" s="131"/>
      <c r="I671" s="131"/>
      <c r="L671" s="135"/>
    </row>
    <row r="672" spans="3:12">
      <c r="C672" s="136"/>
      <c r="D672" s="121"/>
      <c r="E672" s="121"/>
      <c r="F672" s="51"/>
      <c r="G672" s="131"/>
      <c r="H672" s="131"/>
      <c r="I672" s="131"/>
      <c r="L672" s="135"/>
    </row>
    <row r="673" spans="3:12">
      <c r="C673" s="136"/>
      <c r="D673" s="121"/>
      <c r="E673" s="121"/>
      <c r="F673" s="51"/>
      <c r="G673" s="131"/>
      <c r="H673" s="131"/>
      <c r="I673" s="131"/>
      <c r="L673" s="135"/>
    </row>
    <row r="674" spans="3:12">
      <c r="C674" s="136"/>
      <c r="D674" s="121"/>
      <c r="E674" s="121"/>
      <c r="F674" s="51"/>
      <c r="G674" s="131"/>
      <c r="H674" s="131"/>
      <c r="I674" s="131"/>
      <c r="L674" s="135"/>
    </row>
    <row r="675" spans="3:12">
      <c r="C675" s="136"/>
      <c r="D675" s="121"/>
      <c r="E675" s="121"/>
      <c r="F675" s="51"/>
      <c r="G675" s="131"/>
      <c r="H675" s="131"/>
      <c r="I675" s="131"/>
      <c r="L675" s="135"/>
    </row>
    <row r="676" spans="3:12">
      <c r="C676" s="136"/>
      <c r="D676" s="121"/>
      <c r="E676" s="121"/>
      <c r="F676" s="51"/>
      <c r="G676" s="131"/>
      <c r="H676" s="131"/>
      <c r="I676" s="131"/>
      <c r="L676" s="135"/>
    </row>
    <row r="677" spans="3:12">
      <c r="C677" s="136"/>
      <c r="D677" s="121"/>
      <c r="E677" s="121"/>
      <c r="F677" s="51"/>
      <c r="G677" s="131"/>
      <c r="H677" s="131"/>
      <c r="I677" s="131"/>
      <c r="L677" s="135"/>
    </row>
    <row r="678" spans="3:12">
      <c r="C678" s="136"/>
      <c r="D678" s="121"/>
      <c r="E678" s="121"/>
      <c r="F678" s="51"/>
      <c r="G678" s="131"/>
      <c r="H678" s="131"/>
      <c r="I678" s="131"/>
      <c r="L678" s="135"/>
    </row>
    <row r="679" spans="3:12">
      <c r="C679" s="136"/>
      <c r="D679" s="121"/>
      <c r="E679" s="121"/>
      <c r="F679" s="51"/>
      <c r="G679" s="131"/>
      <c r="H679" s="131"/>
      <c r="I679" s="131"/>
      <c r="L679" s="135"/>
    </row>
    <row r="680" spans="3:12">
      <c r="C680" s="136"/>
      <c r="D680" s="121"/>
      <c r="E680" s="121"/>
      <c r="F680" s="51"/>
      <c r="G680" s="131"/>
      <c r="H680" s="131"/>
      <c r="I680" s="131"/>
      <c r="L680" s="135"/>
    </row>
    <row r="681" spans="3:12">
      <c r="C681" s="136"/>
      <c r="D681" s="121"/>
      <c r="E681" s="121"/>
      <c r="F681" s="51"/>
      <c r="G681" s="131"/>
      <c r="H681" s="131"/>
      <c r="I681" s="131"/>
      <c r="L681" s="135"/>
    </row>
    <row r="682" spans="3:12">
      <c r="C682" s="136"/>
      <c r="D682" s="121"/>
      <c r="E682" s="121"/>
      <c r="F682" s="51"/>
      <c r="G682" s="131"/>
      <c r="H682" s="131"/>
      <c r="I682" s="131"/>
      <c r="L682" s="135"/>
    </row>
    <row r="683" spans="3:12">
      <c r="C683" s="136"/>
      <c r="D683" s="121"/>
      <c r="E683" s="121"/>
      <c r="F683" s="51"/>
      <c r="G683" s="131"/>
      <c r="H683" s="131"/>
      <c r="I683" s="131"/>
      <c r="L683" s="135"/>
    </row>
    <row r="684" spans="3:12">
      <c r="C684" s="136"/>
      <c r="D684" s="121"/>
      <c r="E684" s="121"/>
      <c r="F684" s="51"/>
      <c r="G684" s="131"/>
      <c r="H684" s="131"/>
      <c r="I684" s="131"/>
      <c r="L684" s="135"/>
    </row>
    <row r="685" spans="3:12">
      <c r="C685" s="136"/>
      <c r="D685" s="121"/>
      <c r="E685" s="121"/>
      <c r="F685" s="51"/>
      <c r="G685" s="131"/>
      <c r="H685" s="131"/>
      <c r="I685" s="131"/>
      <c r="L685" s="135"/>
    </row>
    <row r="686" spans="3:12">
      <c r="C686" s="136"/>
      <c r="D686" s="121"/>
      <c r="E686" s="121"/>
      <c r="F686" s="51"/>
      <c r="G686" s="131"/>
      <c r="H686" s="131"/>
      <c r="I686" s="131"/>
      <c r="L686" s="135"/>
    </row>
    <row r="687" spans="3:12">
      <c r="C687" s="136"/>
      <c r="D687" s="121"/>
      <c r="E687" s="121"/>
      <c r="F687" s="51"/>
      <c r="G687" s="131"/>
      <c r="H687" s="131"/>
      <c r="I687" s="131"/>
      <c r="L687" s="135"/>
    </row>
    <row r="688" spans="3:12">
      <c r="C688" s="136"/>
      <c r="D688" s="121"/>
      <c r="E688" s="121"/>
      <c r="F688" s="51"/>
      <c r="G688" s="131"/>
      <c r="H688" s="131"/>
      <c r="I688" s="131"/>
      <c r="L688" s="135"/>
    </row>
    <row r="689" spans="3:12">
      <c r="C689" s="136"/>
      <c r="D689" s="121"/>
      <c r="E689" s="121"/>
      <c r="F689" s="51"/>
      <c r="G689" s="131"/>
      <c r="H689" s="131"/>
      <c r="I689" s="131"/>
      <c r="L689" s="135"/>
    </row>
    <row r="690" spans="3:12">
      <c r="C690" s="136"/>
      <c r="D690" s="121"/>
      <c r="E690" s="121"/>
      <c r="F690" s="51"/>
      <c r="G690" s="131"/>
      <c r="H690" s="131"/>
      <c r="I690" s="131"/>
      <c r="L690" s="135"/>
    </row>
    <row r="691" spans="3:12">
      <c r="C691" s="136"/>
      <c r="D691" s="121"/>
      <c r="E691" s="121"/>
      <c r="F691" s="51"/>
      <c r="G691" s="131"/>
      <c r="H691" s="131"/>
      <c r="I691" s="131"/>
      <c r="L691" s="135"/>
    </row>
    <row r="692" spans="3:12">
      <c r="C692" s="136"/>
      <c r="D692" s="121"/>
      <c r="E692" s="121"/>
      <c r="F692" s="51"/>
      <c r="G692" s="131"/>
      <c r="H692" s="131"/>
      <c r="I692" s="131"/>
      <c r="L692" s="135"/>
    </row>
    <row r="693" spans="3:12">
      <c r="C693" s="136"/>
      <c r="D693" s="121"/>
      <c r="E693" s="121"/>
      <c r="F693" s="51"/>
      <c r="G693" s="131"/>
      <c r="H693" s="131"/>
      <c r="I693" s="131"/>
      <c r="L693" s="135"/>
    </row>
    <row r="694" spans="3:12">
      <c r="C694" s="136"/>
      <c r="D694" s="121"/>
      <c r="E694" s="121"/>
      <c r="F694" s="51"/>
      <c r="G694" s="131"/>
      <c r="H694" s="131"/>
      <c r="I694" s="131"/>
      <c r="L694" s="135"/>
    </row>
    <row r="695" spans="3:12">
      <c r="C695" s="136"/>
      <c r="D695" s="121"/>
      <c r="E695" s="121"/>
      <c r="F695" s="51"/>
      <c r="G695" s="131"/>
      <c r="H695" s="131"/>
      <c r="I695" s="131"/>
      <c r="L695" s="135"/>
    </row>
    <row r="696" spans="3:12">
      <c r="C696" s="136"/>
      <c r="D696" s="121"/>
      <c r="E696" s="121"/>
      <c r="F696" s="51"/>
      <c r="G696" s="131"/>
      <c r="H696" s="131"/>
      <c r="I696" s="131"/>
      <c r="L696" s="135"/>
    </row>
    <row r="697" spans="3:12">
      <c r="C697" s="136"/>
      <c r="D697" s="121"/>
      <c r="E697" s="121"/>
      <c r="F697" s="51"/>
      <c r="G697" s="131"/>
      <c r="H697" s="131"/>
      <c r="I697" s="131"/>
      <c r="L697" s="135"/>
    </row>
    <row r="698" spans="3:12">
      <c r="C698" s="136"/>
      <c r="D698" s="121"/>
      <c r="E698" s="121"/>
      <c r="F698" s="51"/>
      <c r="G698" s="131"/>
      <c r="H698" s="131"/>
      <c r="I698" s="131"/>
      <c r="L698" s="135"/>
    </row>
    <row r="699" spans="3:12">
      <c r="C699" s="136"/>
      <c r="D699" s="121"/>
      <c r="E699" s="121"/>
      <c r="F699" s="51"/>
      <c r="G699" s="131"/>
      <c r="H699" s="131"/>
      <c r="I699" s="131"/>
      <c r="L699" s="135"/>
    </row>
    <row r="700" spans="3:12">
      <c r="C700" s="136"/>
      <c r="D700" s="121"/>
      <c r="E700" s="121"/>
      <c r="F700" s="51"/>
      <c r="G700" s="131"/>
      <c r="H700" s="131"/>
      <c r="I700" s="131"/>
      <c r="L700" s="135"/>
    </row>
    <row r="701" spans="3:12">
      <c r="C701" s="136"/>
      <c r="D701" s="121"/>
      <c r="E701" s="121"/>
      <c r="F701" s="51"/>
      <c r="G701" s="131"/>
      <c r="H701" s="131"/>
      <c r="I701" s="131"/>
      <c r="L701" s="135"/>
    </row>
    <row r="702" spans="3:12">
      <c r="C702" s="136"/>
      <c r="D702" s="121"/>
      <c r="E702" s="121"/>
      <c r="F702" s="51"/>
      <c r="G702" s="131"/>
      <c r="H702" s="131"/>
      <c r="I702" s="131"/>
      <c r="L702" s="135"/>
    </row>
    <row r="703" spans="3:12">
      <c r="C703" s="136"/>
      <c r="D703" s="121"/>
      <c r="E703" s="121"/>
      <c r="F703" s="51"/>
      <c r="G703" s="131"/>
      <c r="H703" s="131"/>
      <c r="I703" s="131"/>
      <c r="L703" s="135"/>
    </row>
    <row r="704" spans="3:12">
      <c r="C704" s="136"/>
      <c r="D704" s="121"/>
      <c r="E704" s="121"/>
      <c r="F704" s="51"/>
      <c r="G704" s="131"/>
      <c r="H704" s="131"/>
      <c r="I704" s="131"/>
      <c r="L704" s="135"/>
    </row>
    <row r="705" spans="3:12">
      <c r="C705" s="136"/>
      <c r="D705" s="121"/>
      <c r="E705" s="121"/>
      <c r="F705" s="51"/>
      <c r="G705" s="131"/>
      <c r="H705" s="131"/>
      <c r="I705" s="131"/>
      <c r="L705" s="135"/>
    </row>
    <row r="706" spans="3:12">
      <c r="C706" s="136"/>
      <c r="D706" s="121"/>
      <c r="E706" s="121"/>
      <c r="F706" s="51"/>
      <c r="G706" s="131"/>
      <c r="H706" s="131"/>
      <c r="I706" s="131"/>
      <c r="L706" s="135"/>
    </row>
    <row r="707" spans="3:12">
      <c r="C707" s="136"/>
      <c r="D707" s="121"/>
      <c r="E707" s="121"/>
      <c r="F707" s="51"/>
      <c r="G707" s="131"/>
      <c r="H707" s="131"/>
      <c r="I707" s="131"/>
      <c r="L707" s="135"/>
    </row>
    <row r="708" spans="3:12">
      <c r="C708" s="136"/>
      <c r="D708" s="121"/>
      <c r="E708" s="121"/>
      <c r="F708" s="51"/>
      <c r="G708" s="131"/>
      <c r="H708" s="131"/>
      <c r="I708" s="131"/>
      <c r="L708" s="135"/>
    </row>
    <row r="709" spans="3:12">
      <c r="C709" s="136"/>
      <c r="D709" s="121"/>
      <c r="E709" s="121"/>
      <c r="F709" s="51"/>
      <c r="G709" s="131"/>
      <c r="H709" s="131"/>
      <c r="I709" s="131"/>
      <c r="L709" s="135"/>
    </row>
    <row r="710" spans="3:12">
      <c r="C710" s="136"/>
      <c r="D710" s="121"/>
      <c r="E710" s="121"/>
      <c r="F710" s="51"/>
      <c r="G710" s="131"/>
      <c r="H710" s="131"/>
      <c r="I710" s="131"/>
      <c r="L710" s="135"/>
    </row>
    <row r="711" spans="3:12">
      <c r="C711" s="136"/>
      <c r="D711" s="121"/>
      <c r="E711" s="121"/>
      <c r="F711" s="51"/>
      <c r="G711" s="131"/>
      <c r="H711" s="131"/>
      <c r="I711" s="131"/>
      <c r="L711" s="135"/>
    </row>
    <row r="712" spans="3:12">
      <c r="C712" s="136"/>
      <c r="D712" s="121"/>
      <c r="E712" s="121"/>
      <c r="F712" s="51"/>
      <c r="G712" s="131"/>
      <c r="H712" s="131"/>
      <c r="I712" s="131"/>
      <c r="L712" s="135"/>
    </row>
    <row r="713" spans="3:12">
      <c r="C713" s="136"/>
      <c r="D713" s="121"/>
      <c r="E713" s="121"/>
      <c r="F713" s="51"/>
      <c r="G713" s="131"/>
      <c r="H713" s="131"/>
      <c r="I713" s="131"/>
      <c r="L713" s="135"/>
    </row>
    <row r="714" spans="3:12">
      <c r="C714" s="136"/>
      <c r="D714" s="121"/>
      <c r="E714" s="121"/>
      <c r="F714" s="51"/>
      <c r="G714" s="131"/>
      <c r="H714" s="131"/>
      <c r="I714" s="131"/>
      <c r="L714" s="135"/>
    </row>
    <row r="715" spans="3:12">
      <c r="C715" s="136"/>
      <c r="D715" s="121"/>
      <c r="E715" s="121"/>
      <c r="F715" s="51"/>
      <c r="G715" s="131"/>
      <c r="H715" s="131"/>
      <c r="I715" s="131"/>
      <c r="L715" s="135"/>
    </row>
    <row r="716" spans="3:12">
      <c r="C716" s="136"/>
      <c r="D716" s="121"/>
      <c r="E716" s="121"/>
      <c r="F716" s="51"/>
      <c r="G716" s="131"/>
      <c r="H716" s="131"/>
      <c r="I716" s="131"/>
      <c r="L716" s="135"/>
    </row>
    <row r="717" spans="3:12">
      <c r="C717" s="136"/>
      <c r="D717" s="121"/>
      <c r="E717" s="121"/>
      <c r="F717" s="51"/>
      <c r="G717" s="131"/>
      <c r="H717" s="131"/>
      <c r="I717" s="131"/>
      <c r="L717" s="135"/>
    </row>
    <row r="718" spans="3:12">
      <c r="C718" s="136"/>
      <c r="D718" s="121"/>
      <c r="E718" s="121"/>
      <c r="F718" s="51"/>
      <c r="G718" s="131"/>
      <c r="H718" s="131"/>
      <c r="I718" s="131"/>
      <c r="L718" s="135"/>
    </row>
    <row r="719" spans="3:12">
      <c r="C719" s="136"/>
      <c r="D719" s="121"/>
      <c r="E719" s="121"/>
      <c r="F719" s="51"/>
      <c r="G719" s="131"/>
      <c r="H719" s="131"/>
      <c r="I719" s="131"/>
      <c r="L719" s="135"/>
    </row>
    <row r="720" spans="3:12">
      <c r="C720" s="136"/>
      <c r="D720" s="121"/>
      <c r="E720" s="121"/>
      <c r="F720" s="51"/>
      <c r="G720" s="131"/>
      <c r="H720" s="131"/>
      <c r="I720" s="131"/>
      <c r="L720" s="135"/>
    </row>
    <row r="721" spans="3:12">
      <c r="C721" s="136"/>
      <c r="D721" s="121"/>
      <c r="E721" s="121"/>
      <c r="F721" s="51"/>
      <c r="G721" s="131"/>
      <c r="H721" s="131"/>
      <c r="I721" s="131"/>
      <c r="L721" s="135"/>
    </row>
    <row r="722" spans="3:12">
      <c r="C722" s="136"/>
      <c r="D722" s="121"/>
      <c r="E722" s="121"/>
      <c r="F722" s="51"/>
      <c r="G722" s="131"/>
      <c r="H722" s="131"/>
      <c r="I722" s="131"/>
      <c r="L722" s="135"/>
    </row>
    <row r="723" spans="3:12">
      <c r="C723" s="136"/>
      <c r="D723" s="121"/>
      <c r="E723" s="121"/>
      <c r="F723" s="51"/>
      <c r="G723" s="131"/>
      <c r="H723" s="131"/>
      <c r="I723" s="131"/>
      <c r="L723" s="135"/>
    </row>
    <row r="724" spans="3:12">
      <c r="C724" s="136"/>
      <c r="D724" s="121"/>
      <c r="E724" s="121"/>
      <c r="F724" s="51"/>
      <c r="G724" s="131"/>
      <c r="H724" s="131"/>
      <c r="I724" s="131"/>
      <c r="L724" s="135"/>
    </row>
    <row r="725" spans="3:12">
      <c r="C725" s="136"/>
      <c r="D725" s="121"/>
      <c r="E725" s="121"/>
      <c r="F725" s="51"/>
      <c r="G725" s="131"/>
      <c r="H725" s="131"/>
      <c r="I725" s="131"/>
      <c r="L725" s="135"/>
    </row>
    <row r="726" spans="3:12">
      <c r="C726" s="136"/>
      <c r="D726" s="121"/>
      <c r="E726" s="121"/>
      <c r="F726" s="51"/>
      <c r="G726" s="131"/>
      <c r="H726" s="131"/>
      <c r="I726" s="131"/>
      <c r="L726" s="135"/>
    </row>
    <row r="727" spans="3:12">
      <c r="C727" s="136"/>
      <c r="D727" s="121"/>
      <c r="E727" s="121"/>
      <c r="F727" s="51"/>
      <c r="G727" s="131"/>
      <c r="H727" s="131"/>
      <c r="I727" s="131"/>
      <c r="L727" s="135"/>
    </row>
    <row r="728" spans="3:12">
      <c r="C728" s="136"/>
      <c r="D728" s="121"/>
      <c r="E728" s="121"/>
      <c r="F728" s="51"/>
      <c r="G728" s="131"/>
      <c r="H728" s="131"/>
      <c r="I728" s="131"/>
      <c r="L728" s="135"/>
    </row>
    <row r="729" spans="3:12">
      <c r="C729" s="136"/>
      <c r="D729" s="121"/>
      <c r="E729" s="121"/>
      <c r="F729" s="51"/>
      <c r="G729" s="131"/>
      <c r="H729" s="131"/>
      <c r="I729" s="131"/>
      <c r="L729" s="135"/>
    </row>
    <row r="730" spans="3:12">
      <c r="C730" s="136"/>
      <c r="D730" s="121"/>
      <c r="E730" s="121"/>
      <c r="F730" s="51"/>
      <c r="G730" s="131"/>
      <c r="H730" s="131"/>
      <c r="I730" s="131"/>
      <c r="L730" s="135"/>
    </row>
    <row r="731" spans="3:12">
      <c r="C731" s="136"/>
      <c r="D731" s="121"/>
      <c r="E731" s="121"/>
      <c r="F731" s="51"/>
      <c r="G731" s="131"/>
      <c r="H731" s="131"/>
      <c r="I731" s="131"/>
      <c r="L731" s="135"/>
    </row>
    <row r="732" spans="3:12">
      <c r="C732" s="136"/>
      <c r="D732" s="121"/>
      <c r="E732" s="121"/>
      <c r="F732" s="51"/>
      <c r="G732" s="131"/>
      <c r="H732" s="131"/>
      <c r="I732" s="131"/>
      <c r="L732" s="135"/>
    </row>
    <row r="733" spans="3:12">
      <c r="C733" s="136"/>
      <c r="D733" s="121"/>
      <c r="E733" s="121"/>
      <c r="F733" s="51"/>
      <c r="G733" s="131"/>
      <c r="H733" s="131"/>
      <c r="I733" s="131"/>
      <c r="L733" s="135"/>
    </row>
    <row r="734" spans="3:12">
      <c r="C734" s="136"/>
      <c r="D734" s="121"/>
      <c r="E734" s="121"/>
      <c r="F734" s="51"/>
      <c r="G734" s="131"/>
      <c r="H734" s="131"/>
      <c r="I734" s="131"/>
      <c r="L734" s="135"/>
    </row>
    <row r="735" spans="3:12">
      <c r="C735" s="136"/>
      <c r="D735" s="121"/>
      <c r="E735" s="121"/>
      <c r="F735" s="51"/>
      <c r="G735" s="131"/>
      <c r="H735" s="131"/>
      <c r="I735" s="131"/>
      <c r="L735" s="135"/>
    </row>
    <row r="736" spans="3:12">
      <c r="C736" s="136"/>
      <c r="D736" s="121"/>
      <c r="E736" s="121"/>
      <c r="F736" s="51"/>
      <c r="G736" s="131"/>
      <c r="H736" s="131"/>
      <c r="I736" s="131"/>
      <c r="L736" s="135"/>
    </row>
    <row r="737" spans="3:12">
      <c r="C737" s="136"/>
      <c r="D737" s="121"/>
      <c r="E737" s="121"/>
      <c r="F737" s="51"/>
      <c r="G737" s="131"/>
      <c r="H737" s="131"/>
      <c r="I737" s="131"/>
      <c r="L737" s="135"/>
    </row>
    <row r="738" spans="3:12">
      <c r="C738" s="136"/>
      <c r="D738" s="121"/>
      <c r="E738" s="121"/>
      <c r="F738" s="51"/>
      <c r="G738" s="131"/>
      <c r="H738" s="131"/>
      <c r="I738" s="131"/>
      <c r="L738" s="135"/>
    </row>
    <row r="739" spans="3:12">
      <c r="C739" s="136"/>
      <c r="D739" s="121"/>
      <c r="E739" s="121"/>
      <c r="F739" s="51"/>
      <c r="G739" s="131"/>
      <c r="H739" s="131"/>
      <c r="I739" s="131"/>
      <c r="L739" s="135"/>
    </row>
    <row r="740" spans="3:12">
      <c r="C740" s="136"/>
      <c r="D740" s="121"/>
      <c r="E740" s="121"/>
      <c r="F740" s="51"/>
      <c r="G740" s="131"/>
      <c r="H740" s="131"/>
      <c r="I740" s="131"/>
      <c r="L740" s="135"/>
    </row>
    <row r="741" spans="3:12">
      <c r="C741" s="136"/>
      <c r="D741" s="121"/>
      <c r="E741" s="121"/>
      <c r="F741" s="51"/>
      <c r="G741" s="131"/>
      <c r="H741" s="131"/>
      <c r="I741" s="131"/>
      <c r="L741" s="135"/>
    </row>
    <row r="742" spans="3:12">
      <c r="C742" s="136"/>
      <c r="D742" s="121"/>
      <c r="E742" s="121"/>
      <c r="F742" s="51"/>
      <c r="G742" s="131"/>
      <c r="H742" s="131"/>
      <c r="I742" s="131"/>
      <c r="L742" s="135"/>
    </row>
    <row r="743" spans="3:12">
      <c r="C743" s="136"/>
      <c r="D743" s="121"/>
      <c r="E743" s="121"/>
      <c r="F743" s="51"/>
      <c r="G743" s="131"/>
      <c r="H743" s="131"/>
      <c r="I743" s="131"/>
      <c r="L743" s="135"/>
    </row>
    <row r="744" spans="3:12">
      <c r="C744" s="136"/>
      <c r="D744" s="121"/>
      <c r="E744" s="121"/>
      <c r="F744" s="51"/>
      <c r="G744" s="131"/>
      <c r="H744" s="131"/>
      <c r="I744" s="131"/>
      <c r="L744" s="135"/>
    </row>
    <row r="745" spans="3:12">
      <c r="C745" s="136"/>
      <c r="D745" s="121"/>
      <c r="E745" s="121"/>
      <c r="F745" s="51"/>
      <c r="G745" s="131"/>
      <c r="H745" s="131"/>
      <c r="I745" s="131"/>
      <c r="L745" s="135"/>
    </row>
    <row r="746" spans="3:12">
      <c r="C746" s="136"/>
      <c r="D746" s="121"/>
      <c r="E746" s="121"/>
      <c r="F746" s="51"/>
      <c r="G746" s="131"/>
      <c r="H746" s="131"/>
      <c r="I746" s="131"/>
      <c r="L746" s="135"/>
    </row>
    <row r="747" spans="3:12">
      <c r="C747" s="136"/>
      <c r="D747" s="121"/>
      <c r="E747" s="121"/>
      <c r="F747" s="51"/>
      <c r="G747" s="131"/>
      <c r="H747" s="131"/>
      <c r="I747" s="131"/>
      <c r="L747" s="135"/>
    </row>
    <row r="748" spans="3:12">
      <c r="C748" s="136"/>
      <c r="D748" s="121"/>
      <c r="E748" s="121"/>
      <c r="F748" s="51"/>
      <c r="G748" s="131"/>
      <c r="H748" s="131"/>
      <c r="I748" s="131"/>
      <c r="L748" s="135"/>
    </row>
    <row r="749" spans="3:12">
      <c r="C749" s="136"/>
      <c r="D749" s="121"/>
      <c r="E749" s="121"/>
      <c r="F749" s="51"/>
      <c r="G749" s="131"/>
      <c r="H749" s="131"/>
      <c r="I749" s="131"/>
      <c r="L749" s="135"/>
    </row>
    <row r="750" spans="3:12">
      <c r="C750" s="136"/>
      <c r="D750" s="121"/>
      <c r="E750" s="121"/>
      <c r="F750" s="51"/>
      <c r="G750" s="131"/>
      <c r="H750" s="131"/>
      <c r="I750" s="131"/>
      <c r="L750" s="135"/>
    </row>
    <row r="751" spans="3:12">
      <c r="C751" s="136"/>
      <c r="D751" s="121"/>
      <c r="E751" s="121"/>
      <c r="F751" s="51"/>
      <c r="G751" s="131"/>
      <c r="H751" s="131"/>
      <c r="I751" s="131"/>
      <c r="L751" s="135"/>
    </row>
    <row r="752" spans="3:12">
      <c r="C752" s="136"/>
      <c r="D752" s="121"/>
      <c r="E752" s="121"/>
      <c r="F752" s="51"/>
      <c r="G752" s="131"/>
      <c r="H752" s="131"/>
      <c r="I752" s="131"/>
      <c r="L752" s="135"/>
    </row>
    <row r="753" spans="3:12">
      <c r="C753" s="136"/>
      <c r="D753" s="121"/>
      <c r="E753" s="121"/>
      <c r="F753" s="51"/>
      <c r="G753" s="131"/>
      <c r="H753" s="131"/>
      <c r="I753" s="131"/>
      <c r="L753" s="135"/>
    </row>
    <row r="754" spans="3:12">
      <c r="C754" s="136"/>
      <c r="D754" s="121"/>
      <c r="E754" s="121"/>
      <c r="F754" s="51"/>
      <c r="G754" s="131"/>
      <c r="H754" s="131"/>
      <c r="I754" s="131"/>
      <c r="L754" s="135"/>
    </row>
    <row r="755" spans="3:12">
      <c r="C755" s="136"/>
      <c r="D755" s="121"/>
      <c r="E755" s="121"/>
      <c r="F755" s="51"/>
      <c r="G755" s="131"/>
      <c r="H755" s="131"/>
      <c r="I755" s="131"/>
      <c r="L755" s="135"/>
    </row>
    <row r="756" spans="3:12">
      <c r="C756" s="136"/>
      <c r="D756" s="121"/>
      <c r="E756" s="121"/>
      <c r="F756" s="51"/>
      <c r="G756" s="131"/>
      <c r="H756" s="131"/>
      <c r="I756" s="131"/>
      <c r="L756" s="135"/>
    </row>
    <row r="757" spans="3:12">
      <c r="C757" s="136"/>
      <c r="D757" s="121"/>
      <c r="E757" s="121"/>
      <c r="F757" s="51"/>
      <c r="G757" s="131"/>
      <c r="H757" s="131"/>
      <c r="I757" s="131"/>
      <c r="L757" s="135"/>
    </row>
    <row r="758" spans="3:12">
      <c r="C758" s="136"/>
      <c r="D758" s="121"/>
      <c r="E758" s="121"/>
      <c r="F758" s="51"/>
      <c r="G758" s="131"/>
      <c r="H758" s="131"/>
      <c r="I758" s="131"/>
      <c r="L758" s="135"/>
    </row>
    <row r="759" spans="3:12">
      <c r="C759" s="136"/>
      <c r="D759" s="121"/>
      <c r="E759" s="121"/>
      <c r="F759" s="51"/>
      <c r="G759" s="131"/>
      <c r="H759" s="131"/>
      <c r="I759" s="131"/>
      <c r="L759" s="135"/>
    </row>
    <row r="760" spans="3:12">
      <c r="C760" s="136"/>
      <c r="D760" s="121"/>
      <c r="E760" s="121"/>
      <c r="F760" s="51"/>
      <c r="G760" s="131"/>
      <c r="H760" s="131"/>
      <c r="I760" s="131"/>
      <c r="L760" s="135"/>
    </row>
    <row r="761" spans="3:12">
      <c r="C761" s="136"/>
      <c r="D761" s="121"/>
      <c r="E761" s="121"/>
      <c r="F761" s="51"/>
      <c r="G761" s="131"/>
      <c r="H761" s="131"/>
      <c r="I761" s="131"/>
      <c r="L761" s="135"/>
    </row>
    <row r="762" spans="3:12">
      <c r="C762" s="136"/>
      <c r="D762" s="121"/>
      <c r="E762" s="121"/>
      <c r="F762" s="51"/>
      <c r="G762" s="131"/>
      <c r="H762" s="131"/>
      <c r="I762" s="131"/>
      <c r="L762" s="135"/>
    </row>
    <row r="763" spans="3:12">
      <c r="C763" s="136"/>
      <c r="D763" s="121"/>
      <c r="E763" s="121"/>
      <c r="F763" s="51"/>
      <c r="G763" s="131"/>
      <c r="H763" s="131"/>
      <c r="I763" s="131"/>
      <c r="L763" s="135"/>
    </row>
    <row r="764" spans="3:12">
      <c r="C764" s="136"/>
      <c r="D764" s="121"/>
      <c r="E764" s="121"/>
      <c r="F764" s="51"/>
      <c r="G764" s="131"/>
      <c r="H764" s="131"/>
      <c r="I764" s="131"/>
      <c r="L764" s="135"/>
    </row>
    <row r="765" spans="3:12">
      <c r="C765" s="136"/>
      <c r="D765" s="121"/>
      <c r="E765" s="121"/>
      <c r="F765" s="51"/>
      <c r="G765" s="131"/>
      <c r="H765" s="131"/>
      <c r="I765" s="131"/>
      <c r="L765" s="135"/>
    </row>
    <row r="766" spans="3:12">
      <c r="C766" s="136"/>
      <c r="D766" s="121"/>
      <c r="E766" s="121"/>
      <c r="F766" s="51"/>
      <c r="G766" s="131"/>
      <c r="H766" s="131"/>
      <c r="I766" s="131"/>
      <c r="L766" s="135"/>
    </row>
    <row r="767" spans="3:12">
      <c r="C767" s="136"/>
      <c r="D767" s="121"/>
      <c r="E767" s="121"/>
      <c r="F767" s="51"/>
      <c r="G767" s="131"/>
      <c r="H767" s="131"/>
      <c r="I767" s="131"/>
      <c r="L767" s="135"/>
    </row>
    <row r="768" spans="3:12">
      <c r="C768" s="136"/>
      <c r="D768" s="121"/>
      <c r="E768" s="121"/>
      <c r="F768" s="51"/>
      <c r="G768" s="131"/>
      <c r="H768" s="131"/>
      <c r="I768" s="131"/>
      <c r="L768" s="135"/>
    </row>
    <row r="769" spans="3:12">
      <c r="C769" s="136"/>
      <c r="D769" s="121"/>
      <c r="E769" s="121"/>
      <c r="F769" s="51"/>
      <c r="G769" s="131"/>
      <c r="H769" s="131"/>
      <c r="I769" s="131"/>
      <c r="L769" s="135"/>
    </row>
    <row r="770" spans="3:12">
      <c r="C770" s="136"/>
      <c r="D770" s="121"/>
      <c r="E770" s="121"/>
      <c r="F770" s="51"/>
      <c r="G770" s="131"/>
      <c r="H770" s="131"/>
      <c r="I770" s="131"/>
      <c r="L770" s="135"/>
    </row>
    <row r="771" spans="3:12">
      <c r="C771" s="136"/>
      <c r="D771" s="121"/>
      <c r="E771" s="121"/>
      <c r="F771" s="51"/>
      <c r="G771" s="131"/>
      <c r="H771" s="131"/>
      <c r="I771" s="131"/>
      <c r="L771" s="135"/>
    </row>
    <row r="772" spans="3:12">
      <c r="C772" s="136"/>
      <c r="D772" s="121"/>
      <c r="E772" s="121"/>
      <c r="F772" s="51"/>
      <c r="G772" s="131"/>
      <c r="H772" s="131"/>
      <c r="I772" s="131"/>
      <c r="L772" s="135"/>
    </row>
    <row r="773" spans="3:12">
      <c r="C773" s="136"/>
      <c r="D773" s="121"/>
      <c r="E773" s="121"/>
      <c r="F773" s="51"/>
      <c r="G773" s="131"/>
      <c r="H773" s="131"/>
      <c r="I773" s="131"/>
      <c r="L773" s="135"/>
    </row>
    <row r="774" spans="3:12">
      <c r="C774" s="136"/>
      <c r="D774" s="121"/>
      <c r="E774" s="121"/>
      <c r="F774" s="51"/>
      <c r="G774" s="131"/>
      <c r="H774" s="131"/>
      <c r="I774" s="131"/>
      <c r="L774" s="135"/>
    </row>
    <row r="775" spans="3:12">
      <c r="C775" s="136"/>
      <c r="D775" s="121"/>
      <c r="E775" s="121"/>
      <c r="F775" s="51"/>
      <c r="G775" s="131"/>
      <c r="H775" s="131"/>
      <c r="I775" s="131"/>
      <c r="L775" s="135"/>
    </row>
    <row r="776" spans="3:12">
      <c r="C776" s="136"/>
      <c r="D776" s="121"/>
      <c r="E776" s="121"/>
      <c r="F776" s="51"/>
      <c r="G776" s="131"/>
      <c r="H776" s="131"/>
      <c r="I776" s="131"/>
      <c r="L776" s="135"/>
    </row>
    <row r="777" spans="3:12">
      <c r="C777" s="136"/>
      <c r="D777" s="121"/>
      <c r="E777" s="121"/>
      <c r="F777" s="51"/>
      <c r="G777" s="131"/>
      <c r="H777" s="131"/>
      <c r="I777" s="131"/>
      <c r="L777" s="135"/>
    </row>
    <row r="778" spans="3:12">
      <c r="C778" s="136"/>
      <c r="D778" s="121"/>
      <c r="E778" s="121"/>
      <c r="F778" s="51"/>
      <c r="G778" s="131"/>
      <c r="H778" s="131"/>
      <c r="I778" s="131"/>
      <c r="L778" s="135"/>
    </row>
    <row r="779" spans="3:12">
      <c r="C779" s="136"/>
      <c r="D779" s="121"/>
      <c r="E779" s="121"/>
      <c r="F779" s="51"/>
      <c r="G779" s="131"/>
      <c r="H779" s="131"/>
      <c r="I779" s="131"/>
      <c r="L779" s="135"/>
    </row>
    <row r="780" spans="3:12">
      <c r="C780" s="136"/>
      <c r="D780" s="121"/>
      <c r="E780" s="121"/>
      <c r="F780" s="51"/>
      <c r="G780" s="131"/>
      <c r="H780" s="131"/>
      <c r="I780" s="131"/>
      <c r="L780" s="135"/>
    </row>
    <row r="781" spans="3:12">
      <c r="C781" s="136"/>
      <c r="D781" s="121"/>
      <c r="E781" s="121"/>
      <c r="F781" s="51"/>
      <c r="G781" s="131"/>
      <c r="H781" s="131"/>
      <c r="I781" s="131"/>
      <c r="L781" s="135"/>
    </row>
    <row r="782" spans="3:12">
      <c r="C782" s="136"/>
      <c r="D782" s="121"/>
      <c r="E782" s="121"/>
      <c r="F782" s="51"/>
      <c r="G782" s="131"/>
      <c r="H782" s="131"/>
      <c r="I782" s="131"/>
      <c r="L782" s="135"/>
    </row>
    <row r="783" spans="3:12">
      <c r="C783" s="136"/>
      <c r="D783" s="121"/>
      <c r="E783" s="121"/>
      <c r="F783" s="51"/>
      <c r="G783" s="131"/>
      <c r="H783" s="131"/>
      <c r="I783" s="131"/>
      <c r="L783" s="135"/>
    </row>
    <row r="784" spans="3:12">
      <c r="C784" s="136"/>
      <c r="D784" s="121"/>
      <c r="E784" s="121"/>
      <c r="F784" s="51"/>
      <c r="G784" s="131"/>
      <c r="H784" s="131"/>
      <c r="I784" s="131"/>
      <c r="L784" s="135"/>
    </row>
    <row r="785" spans="3:12">
      <c r="C785" s="136"/>
      <c r="D785" s="121"/>
      <c r="E785" s="121"/>
      <c r="F785" s="51"/>
      <c r="G785" s="131"/>
      <c r="H785" s="131"/>
      <c r="I785" s="131"/>
      <c r="L785" s="135"/>
    </row>
    <row r="786" spans="3:12">
      <c r="C786" s="136"/>
      <c r="D786" s="121"/>
      <c r="E786" s="121"/>
      <c r="F786" s="51"/>
      <c r="G786" s="131"/>
      <c r="H786" s="131"/>
      <c r="I786" s="131"/>
      <c r="L786" s="135"/>
    </row>
    <row r="787" spans="3:12">
      <c r="C787" s="136"/>
      <c r="D787" s="121"/>
      <c r="E787" s="121"/>
      <c r="F787" s="51"/>
      <c r="G787" s="131"/>
      <c r="H787" s="131"/>
      <c r="I787" s="131"/>
      <c r="L787" s="135"/>
    </row>
    <row r="788" spans="3:12">
      <c r="C788" s="136"/>
      <c r="D788" s="121"/>
      <c r="E788" s="121"/>
      <c r="F788" s="51"/>
      <c r="G788" s="131"/>
      <c r="H788" s="131"/>
      <c r="I788" s="131"/>
      <c r="L788" s="135"/>
    </row>
    <row r="789" spans="3:12">
      <c r="C789" s="136"/>
      <c r="D789" s="121"/>
      <c r="E789" s="121"/>
      <c r="F789" s="51"/>
      <c r="G789" s="131"/>
      <c r="H789" s="131"/>
      <c r="I789" s="131"/>
      <c r="L789" s="135"/>
    </row>
    <row r="790" spans="3:12">
      <c r="C790" s="136"/>
      <c r="D790" s="121"/>
      <c r="E790" s="121"/>
      <c r="F790" s="51"/>
      <c r="G790" s="131"/>
      <c r="H790" s="131"/>
      <c r="I790" s="131"/>
      <c r="L790" s="135"/>
    </row>
    <row r="791" spans="3:12">
      <c r="C791" s="136"/>
      <c r="D791" s="121"/>
      <c r="E791" s="121"/>
      <c r="F791" s="51"/>
      <c r="G791" s="131"/>
      <c r="H791" s="131"/>
      <c r="I791" s="131"/>
      <c r="L791" s="135"/>
    </row>
    <row r="792" spans="3:12">
      <c r="C792" s="136"/>
      <c r="D792" s="121"/>
      <c r="E792" s="121"/>
      <c r="F792" s="51"/>
      <c r="G792" s="131"/>
      <c r="H792" s="131"/>
      <c r="I792" s="131"/>
      <c r="L792" s="135"/>
    </row>
    <row r="793" spans="3:12">
      <c r="C793" s="136"/>
      <c r="D793" s="121"/>
      <c r="E793" s="121"/>
      <c r="F793" s="51"/>
      <c r="G793" s="131"/>
      <c r="H793" s="131"/>
      <c r="I793" s="131"/>
      <c r="L793" s="135"/>
    </row>
    <row r="794" spans="3:12">
      <c r="C794" s="136"/>
      <c r="D794" s="121"/>
      <c r="E794" s="121"/>
      <c r="F794" s="51"/>
      <c r="G794" s="131"/>
      <c r="H794" s="131"/>
      <c r="I794" s="131"/>
      <c r="L794" s="135"/>
    </row>
    <row r="795" spans="3:12">
      <c r="C795" s="136"/>
      <c r="D795" s="121"/>
      <c r="E795" s="121"/>
      <c r="F795" s="51"/>
      <c r="G795" s="131"/>
      <c r="H795" s="131"/>
      <c r="I795" s="131"/>
      <c r="L795" s="135"/>
    </row>
    <row r="796" spans="3:12">
      <c r="C796" s="136"/>
      <c r="D796" s="121"/>
      <c r="E796" s="121"/>
      <c r="F796" s="51"/>
      <c r="G796" s="131"/>
      <c r="H796" s="131"/>
      <c r="I796" s="131"/>
      <c r="L796" s="135"/>
    </row>
    <row r="797" spans="3:12">
      <c r="C797" s="136"/>
      <c r="D797" s="121"/>
      <c r="E797" s="121"/>
      <c r="F797" s="51"/>
      <c r="G797" s="131"/>
      <c r="H797" s="131"/>
      <c r="I797" s="131"/>
      <c r="L797" s="135"/>
    </row>
    <row r="798" spans="3:12">
      <c r="C798" s="136"/>
      <c r="D798" s="121"/>
      <c r="E798" s="121"/>
      <c r="F798" s="51"/>
      <c r="G798" s="131"/>
      <c r="H798" s="131"/>
      <c r="I798" s="131"/>
      <c r="L798" s="135"/>
    </row>
    <row r="799" spans="3:12">
      <c r="C799" s="136"/>
      <c r="D799" s="121"/>
      <c r="E799" s="121"/>
      <c r="F799" s="51"/>
      <c r="G799" s="131"/>
      <c r="H799" s="131"/>
      <c r="I799" s="131"/>
      <c r="L799" s="135"/>
    </row>
    <row r="800" spans="3:12">
      <c r="C800" s="136"/>
      <c r="D800" s="121"/>
      <c r="E800" s="121"/>
      <c r="F800" s="51"/>
      <c r="G800" s="131"/>
      <c r="H800" s="131"/>
      <c r="I800" s="131"/>
      <c r="L800" s="135"/>
    </row>
    <row r="801" spans="3:12">
      <c r="C801" s="136"/>
      <c r="D801" s="121"/>
      <c r="E801" s="121"/>
      <c r="F801" s="51"/>
      <c r="G801" s="131"/>
      <c r="H801" s="131"/>
      <c r="I801" s="131"/>
      <c r="L801" s="135"/>
    </row>
    <row r="802" spans="3:12">
      <c r="C802" s="136"/>
      <c r="D802" s="121"/>
      <c r="E802" s="121"/>
      <c r="F802" s="51"/>
      <c r="G802" s="131"/>
      <c r="H802" s="131"/>
      <c r="I802" s="131"/>
      <c r="L802" s="135"/>
    </row>
    <row r="803" spans="3:12">
      <c r="C803" s="136"/>
      <c r="D803" s="121"/>
      <c r="E803" s="121"/>
      <c r="F803" s="51"/>
      <c r="G803" s="131"/>
      <c r="H803" s="131"/>
      <c r="I803" s="131"/>
      <c r="L803" s="135"/>
    </row>
    <row r="804" spans="3:12">
      <c r="C804" s="136"/>
      <c r="D804" s="121"/>
      <c r="E804" s="121"/>
      <c r="F804" s="51"/>
      <c r="G804" s="131"/>
      <c r="H804" s="131"/>
      <c r="I804" s="131"/>
      <c r="L804" s="135"/>
    </row>
    <row r="805" spans="3:12">
      <c r="C805" s="136"/>
      <c r="D805" s="121"/>
      <c r="E805" s="121"/>
      <c r="F805" s="51"/>
      <c r="G805" s="131"/>
      <c r="H805" s="131"/>
      <c r="I805" s="131"/>
      <c r="L805" s="135"/>
    </row>
    <row r="806" spans="3:12">
      <c r="C806" s="136"/>
      <c r="D806" s="121"/>
      <c r="E806" s="121"/>
      <c r="F806" s="51"/>
      <c r="G806" s="131"/>
      <c r="H806" s="131"/>
      <c r="I806" s="131"/>
      <c r="L806" s="135"/>
    </row>
    <row r="807" spans="3:12">
      <c r="C807" s="136"/>
      <c r="D807" s="121"/>
      <c r="E807" s="121"/>
      <c r="F807" s="51"/>
      <c r="G807" s="131"/>
      <c r="H807" s="131"/>
      <c r="I807" s="131"/>
      <c r="L807" s="135"/>
    </row>
    <row r="808" spans="3:12">
      <c r="C808" s="136"/>
      <c r="D808" s="121"/>
      <c r="E808" s="121"/>
      <c r="F808" s="51"/>
      <c r="G808" s="131"/>
      <c r="H808" s="131"/>
      <c r="I808" s="131"/>
      <c r="L808" s="135"/>
    </row>
    <row r="809" spans="3:12">
      <c r="C809" s="136"/>
      <c r="D809" s="121"/>
      <c r="E809" s="121"/>
      <c r="F809" s="51"/>
      <c r="G809" s="131"/>
      <c r="H809" s="131"/>
      <c r="I809" s="131"/>
      <c r="L809" s="135"/>
    </row>
    <row r="810" spans="3:12">
      <c r="C810" s="136"/>
      <c r="D810" s="121"/>
      <c r="E810" s="121"/>
      <c r="F810" s="51"/>
      <c r="G810" s="131"/>
      <c r="H810" s="131"/>
      <c r="I810" s="131"/>
      <c r="L810" s="135"/>
    </row>
    <row r="811" spans="3:12">
      <c r="C811" s="136"/>
      <c r="D811" s="121"/>
      <c r="E811" s="121"/>
      <c r="F811" s="51"/>
      <c r="G811" s="131"/>
      <c r="H811" s="131"/>
      <c r="I811" s="131"/>
      <c r="L811" s="135"/>
    </row>
    <row r="812" spans="3:12">
      <c r="C812" s="136"/>
      <c r="D812" s="121"/>
      <c r="E812" s="121"/>
      <c r="F812" s="51"/>
      <c r="G812" s="131"/>
      <c r="H812" s="131"/>
      <c r="I812" s="131"/>
      <c r="L812" s="135"/>
    </row>
    <row r="813" spans="3:12">
      <c r="C813" s="136"/>
      <c r="D813" s="121"/>
      <c r="E813" s="121"/>
      <c r="F813" s="51"/>
      <c r="G813" s="131"/>
      <c r="H813" s="131"/>
      <c r="I813" s="131"/>
      <c r="L813" s="135"/>
    </row>
    <row r="814" spans="3:12">
      <c r="C814" s="136"/>
      <c r="D814" s="121"/>
      <c r="E814" s="121"/>
      <c r="F814" s="51"/>
      <c r="G814" s="131"/>
      <c r="H814" s="131"/>
      <c r="I814" s="131"/>
      <c r="L814" s="135"/>
    </row>
    <row r="815" spans="3:12">
      <c r="C815" s="136"/>
      <c r="D815" s="121"/>
      <c r="E815" s="121"/>
      <c r="F815" s="51"/>
      <c r="G815" s="131"/>
      <c r="H815" s="131"/>
      <c r="I815" s="131"/>
      <c r="L815" s="135"/>
    </row>
    <row r="816" spans="3:12">
      <c r="C816" s="136"/>
      <c r="D816" s="121"/>
      <c r="E816" s="121"/>
      <c r="F816" s="51"/>
      <c r="G816" s="131"/>
      <c r="H816" s="131"/>
      <c r="I816" s="131"/>
      <c r="L816" s="135"/>
    </row>
    <row r="817" spans="3:12">
      <c r="C817" s="136"/>
      <c r="D817" s="121"/>
      <c r="E817" s="121"/>
      <c r="F817" s="51"/>
      <c r="G817" s="131"/>
      <c r="H817" s="131"/>
      <c r="I817" s="131"/>
      <c r="L817" s="135"/>
    </row>
    <row r="818" spans="3:12">
      <c r="C818" s="136"/>
      <c r="D818" s="121"/>
      <c r="E818" s="121"/>
      <c r="F818" s="51"/>
      <c r="G818" s="131"/>
      <c r="H818" s="131"/>
      <c r="I818" s="131"/>
      <c r="L818" s="135"/>
    </row>
    <row r="819" spans="3:12">
      <c r="C819" s="136"/>
      <c r="D819" s="121"/>
      <c r="E819" s="121"/>
      <c r="F819" s="51"/>
      <c r="G819" s="131"/>
      <c r="H819" s="131"/>
      <c r="I819" s="131"/>
      <c r="L819" s="135"/>
    </row>
    <row r="820" spans="3:12">
      <c r="C820" s="136"/>
      <c r="D820" s="121"/>
      <c r="E820" s="121"/>
      <c r="F820" s="51"/>
      <c r="G820" s="131"/>
      <c r="H820" s="131"/>
      <c r="I820" s="131"/>
      <c r="L820" s="135"/>
    </row>
    <row r="821" spans="3:12">
      <c r="C821" s="136"/>
      <c r="D821" s="121"/>
      <c r="E821" s="121"/>
      <c r="F821" s="51"/>
      <c r="G821" s="131"/>
      <c r="H821" s="131"/>
      <c r="I821" s="131"/>
      <c r="L821" s="135"/>
    </row>
    <row r="822" spans="3:12">
      <c r="C822" s="136"/>
      <c r="D822" s="121"/>
      <c r="E822" s="121"/>
      <c r="F822" s="51"/>
      <c r="G822" s="131"/>
      <c r="H822" s="131"/>
      <c r="I822" s="131"/>
      <c r="L822" s="135"/>
    </row>
    <row r="823" spans="3:12">
      <c r="C823" s="136"/>
      <c r="D823" s="121"/>
      <c r="E823" s="121"/>
      <c r="F823" s="51"/>
      <c r="G823" s="131"/>
      <c r="H823" s="131"/>
      <c r="I823" s="131"/>
      <c r="L823" s="135"/>
    </row>
    <row r="824" spans="3:12">
      <c r="C824" s="136"/>
      <c r="D824" s="121"/>
      <c r="E824" s="121"/>
      <c r="F824" s="51"/>
      <c r="G824" s="131"/>
      <c r="H824" s="131"/>
      <c r="I824" s="131"/>
      <c r="L824" s="135"/>
    </row>
    <row r="825" spans="3:12">
      <c r="C825" s="136"/>
      <c r="D825" s="121"/>
      <c r="E825" s="121"/>
      <c r="F825" s="51"/>
      <c r="G825" s="131"/>
      <c r="H825" s="131"/>
      <c r="I825" s="131"/>
      <c r="L825" s="135"/>
    </row>
    <row r="826" spans="3:12">
      <c r="C826" s="136"/>
      <c r="D826" s="121"/>
      <c r="E826" s="121"/>
      <c r="F826" s="51"/>
      <c r="G826" s="131"/>
      <c r="H826" s="131"/>
      <c r="I826" s="131"/>
      <c r="L826" s="135"/>
    </row>
    <row r="827" spans="3:12">
      <c r="C827" s="136"/>
      <c r="D827" s="121"/>
      <c r="E827" s="121"/>
      <c r="F827" s="51"/>
      <c r="G827" s="131"/>
      <c r="H827" s="131"/>
      <c r="I827" s="131"/>
      <c r="L827" s="135"/>
    </row>
    <row r="828" spans="3:12">
      <c r="C828" s="136"/>
      <c r="D828" s="121"/>
      <c r="E828" s="121"/>
      <c r="F828" s="51"/>
      <c r="G828" s="131"/>
      <c r="H828" s="131"/>
      <c r="I828" s="131"/>
      <c r="L828" s="135"/>
    </row>
    <row r="829" spans="3:12">
      <c r="C829" s="136"/>
      <c r="D829" s="121"/>
      <c r="E829" s="121"/>
      <c r="F829" s="51"/>
      <c r="G829" s="131"/>
      <c r="H829" s="131"/>
      <c r="I829" s="131"/>
      <c r="L829" s="135"/>
    </row>
    <row r="830" spans="3:12">
      <c r="C830" s="136"/>
      <c r="D830" s="121"/>
      <c r="E830" s="121"/>
      <c r="F830" s="51"/>
      <c r="G830" s="131"/>
      <c r="H830" s="131"/>
      <c r="I830" s="131"/>
      <c r="L830" s="135"/>
    </row>
    <row r="831" spans="3:12">
      <c r="C831" s="136"/>
      <c r="D831" s="121"/>
      <c r="E831" s="121"/>
      <c r="F831" s="51"/>
      <c r="G831" s="131"/>
      <c r="H831" s="131"/>
      <c r="I831" s="131"/>
      <c r="L831" s="135"/>
    </row>
    <row r="832" spans="3:12">
      <c r="C832" s="136"/>
      <c r="D832" s="121"/>
      <c r="E832" s="121"/>
      <c r="F832" s="51"/>
      <c r="G832" s="131"/>
      <c r="H832" s="131"/>
      <c r="I832" s="131"/>
      <c r="L832" s="135"/>
    </row>
    <row r="833" spans="3:12">
      <c r="C833" s="136"/>
      <c r="D833" s="121"/>
      <c r="E833" s="121"/>
      <c r="F833" s="51"/>
      <c r="G833" s="131"/>
      <c r="H833" s="131"/>
      <c r="I833" s="131"/>
      <c r="L833" s="135"/>
    </row>
    <row r="834" spans="3:12">
      <c r="C834" s="136"/>
      <c r="D834" s="121"/>
      <c r="E834" s="121"/>
      <c r="F834" s="51"/>
      <c r="G834" s="131"/>
      <c r="H834" s="131"/>
      <c r="I834" s="131"/>
      <c r="L834" s="135"/>
    </row>
    <row r="835" spans="3:12">
      <c r="C835" s="136"/>
      <c r="D835" s="121"/>
      <c r="E835" s="121"/>
      <c r="F835" s="51"/>
      <c r="G835" s="131"/>
      <c r="H835" s="131"/>
      <c r="I835" s="131"/>
      <c r="L835" s="135"/>
    </row>
    <row r="836" spans="3:12">
      <c r="C836" s="136"/>
      <c r="D836" s="121"/>
      <c r="E836" s="121"/>
      <c r="F836" s="51"/>
      <c r="G836" s="131"/>
      <c r="H836" s="131"/>
      <c r="I836" s="131"/>
      <c r="L836" s="135"/>
    </row>
    <row r="837" spans="3:12">
      <c r="C837" s="136"/>
      <c r="D837" s="121"/>
      <c r="E837" s="121"/>
      <c r="F837" s="51"/>
      <c r="G837" s="131"/>
      <c r="H837" s="131"/>
      <c r="I837" s="131"/>
      <c r="L837" s="135"/>
    </row>
    <row r="838" spans="3:12">
      <c r="C838" s="136"/>
      <c r="D838" s="121"/>
      <c r="E838" s="121"/>
      <c r="F838" s="51"/>
      <c r="G838" s="131"/>
      <c r="H838" s="131"/>
      <c r="I838" s="131"/>
      <c r="L838" s="135"/>
    </row>
    <row r="839" spans="3:12">
      <c r="C839" s="136"/>
      <c r="D839" s="121"/>
      <c r="E839" s="121"/>
      <c r="F839" s="51"/>
      <c r="G839" s="131"/>
      <c r="H839" s="131"/>
      <c r="I839" s="131"/>
      <c r="L839" s="135"/>
    </row>
    <row r="840" spans="3:12">
      <c r="C840" s="136"/>
      <c r="D840" s="121"/>
      <c r="E840" s="121"/>
      <c r="F840" s="51"/>
      <c r="G840" s="131"/>
      <c r="H840" s="131"/>
      <c r="I840" s="131"/>
      <c r="L840" s="135"/>
    </row>
    <row r="841" spans="3:12">
      <c r="C841" s="136"/>
      <c r="D841" s="121"/>
      <c r="E841" s="121"/>
      <c r="F841" s="51"/>
      <c r="G841" s="131"/>
      <c r="H841" s="131"/>
      <c r="I841" s="131"/>
      <c r="L841" s="135"/>
    </row>
    <row r="842" spans="3:12">
      <c r="C842" s="136"/>
      <c r="D842" s="121"/>
      <c r="E842" s="121"/>
      <c r="F842" s="51"/>
      <c r="G842" s="131"/>
      <c r="H842" s="131"/>
      <c r="I842" s="131"/>
      <c r="L842" s="135"/>
    </row>
    <row r="843" spans="3:12">
      <c r="C843" s="136"/>
      <c r="D843" s="121"/>
      <c r="E843" s="121"/>
      <c r="F843" s="51"/>
      <c r="G843" s="131"/>
      <c r="H843" s="131"/>
      <c r="I843" s="131"/>
      <c r="L843" s="135"/>
    </row>
    <row r="844" spans="3:12">
      <c r="C844" s="136"/>
      <c r="D844" s="121"/>
      <c r="E844" s="121"/>
      <c r="F844" s="51"/>
      <c r="G844" s="131"/>
      <c r="H844" s="131"/>
      <c r="I844" s="131"/>
      <c r="L844" s="135"/>
    </row>
    <row r="845" spans="3:12">
      <c r="C845" s="136"/>
      <c r="D845" s="121"/>
      <c r="E845" s="121"/>
      <c r="F845" s="51"/>
      <c r="G845" s="131"/>
      <c r="H845" s="131"/>
      <c r="I845" s="131"/>
      <c r="L845" s="135"/>
    </row>
    <row r="846" spans="3:12">
      <c r="C846" s="136"/>
      <c r="D846" s="121"/>
      <c r="E846" s="121"/>
      <c r="F846" s="51"/>
      <c r="G846" s="131"/>
      <c r="H846" s="131"/>
      <c r="I846" s="131"/>
      <c r="L846" s="135"/>
    </row>
    <row r="847" spans="3:12">
      <c r="C847" s="136"/>
      <c r="D847" s="121"/>
      <c r="E847" s="121"/>
      <c r="F847" s="51"/>
      <c r="G847" s="131"/>
      <c r="H847" s="131"/>
      <c r="I847" s="131"/>
      <c r="L847" s="135"/>
    </row>
    <row r="848" spans="3:12">
      <c r="C848" s="136"/>
      <c r="D848" s="121"/>
      <c r="E848" s="121"/>
      <c r="F848" s="51"/>
      <c r="G848" s="131"/>
      <c r="H848" s="131"/>
      <c r="I848" s="131"/>
      <c r="L848" s="135"/>
    </row>
    <row r="849" spans="3:12">
      <c r="C849" s="136"/>
      <c r="D849" s="121"/>
      <c r="E849" s="121"/>
      <c r="F849" s="51"/>
      <c r="G849" s="131"/>
      <c r="H849" s="131"/>
      <c r="I849" s="131"/>
      <c r="L849" s="135"/>
    </row>
    <row r="850" spans="3:12">
      <c r="C850" s="136"/>
      <c r="D850" s="121"/>
      <c r="E850" s="121"/>
      <c r="F850" s="51"/>
      <c r="G850" s="131"/>
      <c r="H850" s="131"/>
      <c r="I850" s="131"/>
      <c r="L850" s="135"/>
    </row>
    <row r="851" spans="3:12">
      <c r="C851" s="136"/>
      <c r="D851" s="121"/>
      <c r="E851" s="121"/>
      <c r="F851" s="51"/>
      <c r="G851" s="131"/>
      <c r="H851" s="131"/>
      <c r="I851" s="131"/>
      <c r="L851" s="135"/>
    </row>
    <row r="852" spans="3:12">
      <c r="C852" s="136"/>
      <c r="D852" s="121"/>
      <c r="E852" s="121"/>
      <c r="F852" s="51"/>
      <c r="G852" s="131"/>
      <c r="H852" s="131"/>
      <c r="I852" s="131"/>
      <c r="L852" s="135"/>
    </row>
    <row r="853" spans="3:12">
      <c r="C853" s="136"/>
      <c r="D853" s="121"/>
      <c r="E853" s="121"/>
      <c r="F853" s="51"/>
      <c r="G853" s="131"/>
      <c r="H853" s="131"/>
      <c r="I853" s="131"/>
      <c r="L853" s="135"/>
    </row>
    <row r="854" spans="3:12">
      <c r="C854" s="136"/>
      <c r="D854" s="121"/>
      <c r="E854" s="121"/>
      <c r="F854" s="51"/>
      <c r="G854" s="131"/>
      <c r="H854" s="131"/>
      <c r="I854" s="131"/>
      <c r="L854" s="135"/>
    </row>
    <row r="855" spans="3:12">
      <c r="C855" s="136"/>
      <c r="D855" s="121"/>
      <c r="E855" s="121"/>
      <c r="F855" s="51"/>
      <c r="G855" s="131"/>
      <c r="H855" s="131"/>
      <c r="I855" s="131"/>
      <c r="L855" s="135"/>
    </row>
    <row r="856" spans="3:12">
      <c r="C856" s="136"/>
      <c r="D856" s="121"/>
      <c r="E856" s="121"/>
      <c r="F856" s="51"/>
      <c r="G856" s="131"/>
      <c r="H856" s="131"/>
      <c r="I856" s="131"/>
      <c r="L856" s="135"/>
    </row>
    <row r="857" spans="3:12">
      <c r="C857" s="136"/>
      <c r="D857" s="121"/>
      <c r="E857" s="121"/>
      <c r="F857" s="51"/>
      <c r="G857" s="131"/>
      <c r="H857" s="131"/>
      <c r="I857" s="131"/>
      <c r="L857" s="135"/>
    </row>
    <row r="858" spans="3:12">
      <c r="C858" s="136"/>
      <c r="D858" s="121"/>
      <c r="E858" s="121"/>
      <c r="F858" s="51"/>
      <c r="G858" s="131"/>
      <c r="H858" s="131"/>
      <c r="I858" s="131"/>
      <c r="L858" s="135"/>
    </row>
    <row r="859" spans="3:12">
      <c r="C859" s="136"/>
      <c r="D859" s="121"/>
      <c r="E859" s="121"/>
      <c r="F859" s="51"/>
      <c r="G859" s="131"/>
      <c r="H859" s="131"/>
      <c r="I859" s="131"/>
      <c r="L859" s="135"/>
    </row>
    <row r="860" spans="3:12">
      <c r="C860" s="136"/>
      <c r="D860" s="121"/>
      <c r="E860" s="121"/>
      <c r="F860" s="51"/>
      <c r="G860" s="131"/>
      <c r="H860" s="131"/>
      <c r="I860" s="131"/>
      <c r="L860" s="135"/>
    </row>
    <row r="861" spans="3:12">
      <c r="C861" s="136"/>
      <c r="D861" s="121"/>
      <c r="E861" s="121"/>
      <c r="F861" s="51"/>
      <c r="G861" s="131"/>
      <c r="H861" s="131"/>
      <c r="I861" s="131"/>
      <c r="L861" s="135"/>
    </row>
    <row r="862" spans="3:12">
      <c r="C862" s="136"/>
      <c r="D862" s="121"/>
      <c r="E862" s="121"/>
      <c r="F862" s="51"/>
      <c r="G862" s="131"/>
      <c r="H862" s="131"/>
      <c r="I862" s="131"/>
      <c r="L862" s="135"/>
    </row>
    <row r="863" spans="3:12">
      <c r="C863" s="136"/>
      <c r="D863" s="121"/>
      <c r="E863" s="121"/>
      <c r="F863" s="51"/>
      <c r="G863" s="131"/>
      <c r="H863" s="131"/>
      <c r="I863" s="131"/>
      <c r="L863" s="135"/>
    </row>
    <row r="864" spans="3:12">
      <c r="C864" s="136"/>
      <c r="D864" s="121"/>
      <c r="E864" s="121"/>
      <c r="F864" s="51"/>
      <c r="G864" s="131"/>
      <c r="H864" s="131"/>
      <c r="I864" s="131"/>
      <c r="L864" s="135"/>
    </row>
    <row r="865" spans="3:12">
      <c r="C865" s="136"/>
      <c r="D865" s="121"/>
      <c r="E865" s="121"/>
      <c r="F865" s="51"/>
      <c r="G865" s="131"/>
      <c r="H865" s="131"/>
      <c r="I865" s="131"/>
      <c r="L865" s="135"/>
    </row>
    <row r="866" spans="3:12">
      <c r="C866" s="136"/>
      <c r="D866" s="121"/>
      <c r="E866" s="121"/>
      <c r="F866" s="51"/>
      <c r="G866" s="131"/>
      <c r="H866" s="131"/>
      <c r="I866" s="131"/>
      <c r="L866" s="135"/>
    </row>
    <row r="867" spans="3:12">
      <c r="C867" s="136"/>
      <c r="D867" s="121"/>
      <c r="E867" s="121"/>
      <c r="F867" s="51"/>
      <c r="G867" s="131"/>
      <c r="H867" s="131"/>
      <c r="I867" s="131"/>
      <c r="L867" s="135"/>
    </row>
    <row r="868" spans="3:12">
      <c r="C868" s="136"/>
      <c r="D868" s="121"/>
      <c r="E868" s="121"/>
      <c r="F868" s="51"/>
      <c r="G868" s="131"/>
      <c r="H868" s="131"/>
      <c r="I868" s="131"/>
      <c r="L868" s="135"/>
    </row>
    <row r="869" spans="3:12">
      <c r="C869" s="136"/>
      <c r="D869" s="121"/>
      <c r="E869" s="121"/>
      <c r="F869" s="51"/>
      <c r="G869" s="131"/>
      <c r="H869" s="131"/>
      <c r="I869" s="131"/>
      <c r="L869" s="135"/>
    </row>
    <row r="870" spans="3:12">
      <c r="C870" s="136"/>
      <c r="D870" s="121"/>
      <c r="E870" s="121"/>
      <c r="F870" s="51"/>
      <c r="G870" s="131"/>
      <c r="H870" s="131"/>
      <c r="I870" s="131"/>
      <c r="L870" s="135"/>
    </row>
    <row r="871" spans="3:12">
      <c r="C871" s="136"/>
      <c r="D871" s="121"/>
      <c r="E871" s="121"/>
      <c r="F871" s="51"/>
      <c r="G871" s="131"/>
      <c r="H871" s="131"/>
      <c r="I871" s="131"/>
      <c r="L871" s="135"/>
    </row>
    <row r="872" spans="3:12">
      <c r="C872" s="136"/>
      <c r="D872" s="121"/>
      <c r="E872" s="121"/>
      <c r="F872" s="51"/>
      <c r="G872" s="131"/>
      <c r="H872" s="131"/>
      <c r="I872" s="131"/>
      <c r="L872" s="135"/>
    </row>
    <row r="873" spans="3:12">
      <c r="C873" s="136"/>
      <c r="D873" s="121"/>
      <c r="E873" s="121"/>
      <c r="F873" s="51"/>
      <c r="G873" s="131"/>
      <c r="H873" s="131"/>
      <c r="I873" s="131"/>
      <c r="L873" s="135"/>
    </row>
    <row r="874" spans="3:12">
      <c r="C874" s="136"/>
      <c r="D874" s="121"/>
      <c r="E874" s="121"/>
      <c r="F874" s="51"/>
      <c r="G874" s="131"/>
      <c r="H874" s="131"/>
      <c r="I874" s="131"/>
      <c r="L874" s="135"/>
    </row>
    <row r="875" spans="3:12">
      <c r="C875" s="136"/>
      <c r="D875" s="121"/>
      <c r="E875" s="121"/>
      <c r="F875" s="51"/>
      <c r="G875" s="131"/>
      <c r="H875" s="131"/>
      <c r="I875" s="131"/>
      <c r="L875" s="135"/>
    </row>
    <row r="876" spans="3:12">
      <c r="C876" s="136"/>
      <c r="D876" s="121"/>
      <c r="E876" s="121"/>
      <c r="F876" s="51"/>
      <c r="G876" s="131"/>
      <c r="H876" s="131"/>
      <c r="I876" s="131"/>
      <c r="L876" s="135"/>
    </row>
    <row r="877" spans="3:12">
      <c r="C877" s="136"/>
      <c r="D877" s="121"/>
      <c r="E877" s="121"/>
      <c r="F877" s="51"/>
      <c r="G877" s="131"/>
      <c r="H877" s="131"/>
      <c r="I877" s="131"/>
      <c r="L877" s="135"/>
    </row>
    <row r="878" spans="3:12">
      <c r="C878" s="136"/>
      <c r="D878" s="121"/>
      <c r="E878" s="121"/>
      <c r="F878" s="51"/>
      <c r="G878" s="131"/>
      <c r="H878" s="131"/>
      <c r="I878" s="131"/>
      <c r="L878" s="135"/>
    </row>
    <row r="879" spans="3:12">
      <c r="C879" s="136"/>
      <c r="D879" s="121"/>
      <c r="E879" s="121"/>
      <c r="F879" s="51"/>
      <c r="G879" s="131"/>
      <c r="H879" s="131"/>
      <c r="I879" s="131"/>
      <c r="L879" s="135"/>
    </row>
    <row r="880" spans="3:12">
      <c r="C880" s="136"/>
      <c r="D880" s="121"/>
      <c r="E880" s="121"/>
      <c r="F880" s="51"/>
      <c r="G880" s="131"/>
      <c r="H880" s="131"/>
      <c r="I880" s="131"/>
      <c r="L880" s="135"/>
    </row>
    <row r="881" spans="3:12">
      <c r="C881" s="136"/>
      <c r="D881" s="121"/>
      <c r="E881" s="121"/>
      <c r="F881" s="51"/>
      <c r="G881" s="131"/>
      <c r="H881" s="131"/>
      <c r="I881" s="131"/>
      <c r="L881" s="135"/>
    </row>
    <row r="882" spans="3:12">
      <c r="C882" s="136"/>
      <c r="D882" s="121"/>
      <c r="E882" s="121"/>
      <c r="F882" s="51"/>
      <c r="G882" s="131"/>
      <c r="H882" s="131"/>
      <c r="I882" s="131"/>
      <c r="L882" s="135"/>
    </row>
    <row r="883" spans="3:12">
      <c r="C883" s="136"/>
      <c r="D883" s="121"/>
      <c r="E883" s="121"/>
      <c r="F883" s="51"/>
      <c r="G883" s="131"/>
      <c r="H883" s="131"/>
      <c r="I883" s="131"/>
      <c r="L883" s="135"/>
    </row>
    <row r="884" spans="3:12">
      <c r="C884" s="136"/>
      <c r="D884" s="121"/>
      <c r="E884" s="121"/>
      <c r="F884" s="51"/>
      <c r="G884" s="131"/>
      <c r="H884" s="131"/>
      <c r="I884" s="131"/>
      <c r="L884" s="135"/>
    </row>
    <row r="885" spans="3:12">
      <c r="C885" s="136"/>
      <c r="D885" s="121"/>
      <c r="E885" s="121"/>
      <c r="F885" s="51"/>
      <c r="G885" s="131"/>
      <c r="H885" s="131"/>
      <c r="I885" s="131"/>
      <c r="L885" s="135"/>
    </row>
    <row r="886" spans="3:12">
      <c r="C886" s="136"/>
      <c r="D886" s="121"/>
      <c r="E886" s="121"/>
      <c r="F886" s="51"/>
      <c r="G886" s="131"/>
      <c r="H886" s="131"/>
      <c r="I886" s="131"/>
      <c r="L886" s="135"/>
    </row>
    <row r="887" spans="3:12">
      <c r="C887" s="136"/>
      <c r="D887" s="121"/>
      <c r="E887" s="121"/>
      <c r="F887" s="51"/>
      <c r="G887" s="131"/>
      <c r="H887" s="131"/>
      <c r="I887" s="131"/>
      <c r="L887" s="135"/>
    </row>
    <row r="888" spans="3:12">
      <c r="C888" s="136"/>
      <c r="D888" s="121"/>
      <c r="E888" s="121"/>
      <c r="F888" s="51"/>
      <c r="G888" s="131"/>
      <c r="H888" s="131"/>
      <c r="I888" s="131"/>
      <c r="L888" s="135"/>
    </row>
    <row r="889" spans="3:12">
      <c r="C889" s="136"/>
      <c r="D889" s="121"/>
      <c r="E889" s="121"/>
      <c r="F889" s="51"/>
      <c r="G889" s="131"/>
      <c r="H889" s="131"/>
      <c r="I889" s="131"/>
      <c r="L889" s="135"/>
    </row>
    <row r="890" spans="3:12">
      <c r="C890" s="136"/>
      <c r="D890" s="121"/>
      <c r="E890" s="121"/>
      <c r="F890" s="51"/>
      <c r="G890" s="131"/>
      <c r="H890" s="131"/>
      <c r="I890" s="131"/>
      <c r="L890" s="135"/>
    </row>
    <row r="891" spans="3:12">
      <c r="C891" s="136"/>
      <c r="D891" s="121"/>
      <c r="E891" s="121"/>
      <c r="F891" s="51"/>
      <c r="G891" s="131"/>
      <c r="H891" s="131"/>
      <c r="I891" s="131"/>
      <c r="L891" s="135"/>
    </row>
    <row r="892" spans="3:12">
      <c r="C892" s="136"/>
      <c r="D892" s="121"/>
      <c r="E892" s="121"/>
      <c r="F892" s="51"/>
      <c r="G892" s="131"/>
      <c r="H892" s="131"/>
      <c r="I892" s="131"/>
      <c r="L892" s="135"/>
    </row>
    <row r="893" spans="3:12">
      <c r="C893" s="136"/>
      <c r="D893" s="121"/>
      <c r="E893" s="121"/>
      <c r="F893" s="51"/>
      <c r="G893" s="131"/>
      <c r="H893" s="131"/>
      <c r="I893" s="131"/>
      <c r="L893" s="135"/>
    </row>
    <row r="894" spans="3:12">
      <c r="C894" s="136"/>
      <c r="D894" s="121"/>
      <c r="E894" s="121"/>
      <c r="F894" s="51"/>
      <c r="G894" s="131"/>
      <c r="H894" s="131"/>
      <c r="I894" s="131"/>
      <c r="L894" s="135"/>
    </row>
    <row r="895" spans="3:12">
      <c r="C895" s="136"/>
      <c r="D895" s="121"/>
      <c r="E895" s="121"/>
      <c r="F895" s="51"/>
      <c r="G895" s="131"/>
      <c r="H895" s="131"/>
      <c r="I895" s="131"/>
      <c r="L895" s="135"/>
    </row>
    <row r="896" spans="3:12">
      <c r="C896" s="136"/>
      <c r="D896" s="121"/>
      <c r="E896" s="121"/>
      <c r="F896" s="51"/>
      <c r="G896" s="131"/>
      <c r="H896" s="131"/>
      <c r="I896" s="131"/>
      <c r="L896" s="135"/>
    </row>
    <row r="897" spans="3:12">
      <c r="C897" s="136"/>
      <c r="D897" s="121"/>
      <c r="E897" s="121"/>
      <c r="F897" s="51"/>
      <c r="G897" s="131"/>
      <c r="H897" s="131"/>
      <c r="I897" s="131"/>
      <c r="L897" s="135"/>
    </row>
    <row r="898" spans="3:12">
      <c r="C898" s="136"/>
      <c r="D898" s="121"/>
      <c r="E898" s="121"/>
      <c r="F898" s="51"/>
      <c r="G898" s="131"/>
      <c r="H898" s="131"/>
      <c r="I898" s="131"/>
      <c r="L898" s="135"/>
    </row>
    <row r="899" spans="3:12">
      <c r="C899" s="136"/>
      <c r="D899" s="121"/>
      <c r="E899" s="121"/>
      <c r="F899" s="51"/>
      <c r="G899" s="131"/>
      <c r="H899" s="131"/>
      <c r="I899" s="131"/>
      <c r="L899" s="135"/>
    </row>
    <row r="900" spans="3:12">
      <c r="C900" s="136"/>
      <c r="D900" s="121"/>
      <c r="E900" s="121"/>
      <c r="F900" s="51"/>
      <c r="G900" s="131"/>
      <c r="H900" s="131"/>
      <c r="I900" s="131"/>
      <c r="L900" s="135"/>
    </row>
    <row r="901" spans="3:12">
      <c r="C901" s="136"/>
      <c r="D901" s="121"/>
      <c r="E901" s="121"/>
      <c r="F901" s="51"/>
      <c r="G901" s="131"/>
      <c r="H901" s="131"/>
      <c r="I901" s="131"/>
      <c r="L901" s="135"/>
    </row>
    <row r="902" spans="3:12">
      <c r="C902" s="136"/>
      <c r="D902" s="136"/>
      <c r="E902" s="136"/>
      <c r="F902" s="131"/>
      <c r="G902" s="131"/>
      <c r="H902" s="131"/>
      <c r="I902" s="131"/>
      <c r="L902" s="135"/>
    </row>
    <row r="903" spans="3:12">
      <c r="C903" s="136"/>
      <c r="D903" s="136"/>
      <c r="E903" s="136"/>
      <c r="F903" s="131"/>
      <c r="G903" s="131"/>
      <c r="H903" s="131"/>
      <c r="I903" s="131"/>
      <c r="L903" s="135"/>
    </row>
    <row r="904" spans="3:12">
      <c r="C904" s="136"/>
      <c r="D904" s="136"/>
      <c r="E904" s="136"/>
      <c r="F904" s="131"/>
      <c r="G904" s="131"/>
      <c r="H904" s="131"/>
      <c r="I904" s="131"/>
      <c r="L904" s="135"/>
    </row>
    <row r="905" spans="3:12">
      <c r="C905" s="136"/>
      <c r="D905" s="136"/>
      <c r="E905" s="136"/>
      <c r="F905" s="131"/>
      <c r="G905" s="131"/>
      <c r="H905" s="131"/>
      <c r="I905" s="131"/>
      <c r="L905" s="135"/>
    </row>
    <row r="906" spans="3:12">
      <c r="C906" s="136"/>
      <c r="D906" s="136"/>
      <c r="E906" s="136"/>
      <c r="F906" s="131"/>
      <c r="G906" s="131"/>
      <c r="H906" s="131"/>
      <c r="I906" s="131"/>
      <c r="L906" s="135"/>
    </row>
    <row r="907" spans="3:12">
      <c r="C907" s="136"/>
      <c r="D907" s="136"/>
      <c r="E907" s="136"/>
      <c r="F907" s="131"/>
      <c r="G907" s="131"/>
      <c r="H907" s="131"/>
      <c r="I907" s="131"/>
      <c r="L907" s="135"/>
    </row>
    <row r="908" spans="3:12">
      <c r="C908" s="136"/>
      <c r="D908" s="136"/>
      <c r="E908" s="136"/>
      <c r="F908" s="131"/>
      <c r="G908" s="131"/>
      <c r="H908" s="131"/>
      <c r="I908" s="131"/>
      <c r="L908" s="135"/>
    </row>
    <row r="909" spans="3:12">
      <c r="C909" s="136"/>
      <c r="D909" s="136"/>
      <c r="E909" s="136"/>
      <c r="F909" s="131"/>
      <c r="G909" s="131"/>
      <c r="H909" s="131"/>
      <c r="I909" s="131"/>
      <c r="L909" s="135"/>
    </row>
    <row r="910" spans="3:12">
      <c r="C910" s="136"/>
      <c r="D910" s="136"/>
      <c r="E910" s="136"/>
      <c r="F910" s="131"/>
      <c r="G910" s="131"/>
      <c r="H910" s="131"/>
      <c r="I910" s="131"/>
      <c r="L910" s="135"/>
    </row>
    <row r="911" spans="3:12">
      <c r="C911" s="136"/>
      <c r="D911" s="136"/>
      <c r="E911" s="136"/>
      <c r="F911" s="131"/>
      <c r="G911" s="131"/>
      <c r="H911" s="131"/>
      <c r="I911" s="131"/>
      <c r="L911" s="135"/>
    </row>
    <row r="912" spans="3:12">
      <c r="C912" s="136"/>
      <c r="D912" s="136"/>
      <c r="E912" s="136"/>
      <c r="F912" s="131"/>
      <c r="G912" s="131"/>
      <c r="H912" s="131"/>
      <c r="I912" s="131"/>
      <c r="L912" s="135"/>
    </row>
    <row r="913" spans="3:12">
      <c r="C913" s="136"/>
      <c r="D913" s="136"/>
      <c r="E913" s="136"/>
      <c r="F913" s="131"/>
      <c r="G913" s="131"/>
      <c r="H913" s="131"/>
      <c r="I913" s="131"/>
      <c r="L913" s="135"/>
    </row>
    <row r="914" spans="3:12">
      <c r="C914" s="136"/>
      <c r="D914" s="136"/>
      <c r="E914" s="136"/>
      <c r="F914" s="131"/>
      <c r="G914" s="131"/>
      <c r="H914" s="131"/>
      <c r="I914" s="131"/>
      <c r="L914" s="135"/>
    </row>
    <row r="915" spans="3:12">
      <c r="C915" s="136"/>
      <c r="D915" s="136"/>
      <c r="E915" s="136"/>
      <c r="F915" s="131"/>
      <c r="G915" s="131"/>
      <c r="H915" s="131"/>
      <c r="I915" s="131"/>
      <c r="L915" s="135"/>
    </row>
    <row r="916" spans="3:12">
      <c r="C916" s="136"/>
      <c r="D916" s="136"/>
      <c r="E916" s="136"/>
      <c r="F916" s="131"/>
      <c r="G916" s="131"/>
      <c r="H916" s="131"/>
      <c r="I916" s="131"/>
      <c r="L916" s="135"/>
    </row>
    <row r="917" spans="3:12">
      <c r="C917" s="136"/>
      <c r="D917" s="136"/>
      <c r="E917" s="136"/>
      <c r="F917" s="131"/>
      <c r="G917" s="131"/>
      <c r="H917" s="131"/>
      <c r="I917" s="131"/>
      <c r="L917" s="135"/>
    </row>
    <row r="918" spans="3:12">
      <c r="C918" s="136"/>
      <c r="D918" s="136"/>
      <c r="E918" s="136"/>
      <c r="F918" s="131"/>
      <c r="G918" s="131"/>
      <c r="H918" s="131"/>
      <c r="I918" s="131"/>
      <c r="L918" s="135"/>
    </row>
    <row r="919" spans="3:12">
      <c r="C919" s="136"/>
      <c r="D919" s="136"/>
      <c r="E919" s="136"/>
      <c r="F919" s="131"/>
      <c r="G919" s="131"/>
      <c r="H919" s="131"/>
      <c r="I919" s="131"/>
      <c r="L919" s="135"/>
    </row>
    <row r="920" spans="3:12">
      <c r="C920" s="136"/>
      <c r="D920" s="136"/>
      <c r="E920" s="136"/>
      <c r="F920" s="131"/>
      <c r="G920" s="131"/>
      <c r="H920" s="131"/>
      <c r="I920" s="131"/>
      <c r="L920" s="135"/>
    </row>
    <row r="921" spans="3:12">
      <c r="C921" s="136"/>
      <c r="D921" s="136"/>
      <c r="E921" s="136"/>
      <c r="F921" s="131"/>
      <c r="G921" s="131"/>
      <c r="H921" s="131"/>
      <c r="I921" s="131"/>
      <c r="L921" s="135"/>
    </row>
    <row r="922" spans="3:12">
      <c r="C922" s="136"/>
      <c r="D922" s="136"/>
      <c r="E922" s="136"/>
      <c r="F922" s="131"/>
      <c r="G922" s="131"/>
      <c r="H922" s="131"/>
      <c r="I922" s="131"/>
      <c r="L922" s="135"/>
    </row>
    <row r="923" spans="3:12">
      <c r="C923" s="136"/>
      <c r="D923" s="136"/>
      <c r="E923" s="136"/>
      <c r="F923" s="131"/>
      <c r="G923" s="131"/>
      <c r="H923" s="131"/>
      <c r="I923" s="131"/>
      <c r="L923" s="135"/>
    </row>
    <row r="924" spans="3:12">
      <c r="C924" s="136"/>
      <c r="D924" s="136"/>
      <c r="E924" s="136"/>
      <c r="F924" s="131"/>
      <c r="G924" s="131"/>
      <c r="H924" s="131"/>
      <c r="I924" s="131"/>
      <c r="L924" s="135"/>
    </row>
    <row r="925" spans="3:12">
      <c r="C925" s="136"/>
      <c r="D925" s="136"/>
      <c r="E925" s="136"/>
      <c r="F925" s="131"/>
      <c r="G925" s="131"/>
      <c r="H925" s="131"/>
      <c r="I925" s="131"/>
      <c r="L925" s="135"/>
    </row>
    <row r="926" spans="3:12">
      <c r="C926" s="136"/>
      <c r="D926" s="136"/>
      <c r="E926" s="136"/>
      <c r="F926" s="131"/>
      <c r="G926" s="131"/>
      <c r="H926" s="131"/>
      <c r="I926" s="131"/>
      <c r="L926" s="135"/>
    </row>
    <row r="927" spans="3:12">
      <c r="C927" s="136"/>
      <c r="D927" s="136"/>
      <c r="E927" s="136"/>
      <c r="F927" s="131"/>
      <c r="G927" s="131"/>
      <c r="H927" s="131"/>
      <c r="I927" s="131"/>
      <c r="L927" s="135"/>
    </row>
    <row r="928" spans="3:12">
      <c r="C928" s="136"/>
      <c r="D928" s="136"/>
      <c r="E928" s="136"/>
      <c r="F928" s="131"/>
      <c r="G928" s="131"/>
      <c r="H928" s="131"/>
      <c r="I928" s="131"/>
      <c r="L928" s="135"/>
    </row>
    <row r="929" spans="3:12">
      <c r="C929" s="136"/>
      <c r="D929" s="136"/>
      <c r="E929" s="136"/>
      <c r="F929" s="131"/>
      <c r="G929" s="131"/>
      <c r="H929" s="131"/>
      <c r="I929" s="131"/>
      <c r="L929" s="135"/>
    </row>
    <row r="930" spans="3:12">
      <c r="C930" s="136"/>
      <c r="D930" s="136"/>
      <c r="E930" s="136"/>
      <c r="F930" s="131"/>
      <c r="G930" s="131"/>
      <c r="H930" s="131"/>
      <c r="I930" s="131"/>
      <c r="L930" s="135"/>
    </row>
    <row r="931" spans="3:12">
      <c r="C931" s="136"/>
      <c r="D931" s="136"/>
      <c r="E931" s="136"/>
      <c r="F931" s="131"/>
      <c r="G931" s="131"/>
      <c r="H931" s="131"/>
      <c r="I931" s="131"/>
      <c r="L931" s="135"/>
    </row>
    <row r="932" spans="3:12">
      <c r="C932" s="136"/>
      <c r="D932" s="136"/>
      <c r="E932" s="136"/>
      <c r="F932" s="131"/>
      <c r="G932" s="131"/>
      <c r="H932" s="131"/>
      <c r="I932" s="131"/>
      <c r="L932" s="135"/>
    </row>
    <row r="933" spans="3:12">
      <c r="C933" s="136"/>
      <c r="D933" s="136"/>
      <c r="E933" s="136"/>
      <c r="F933" s="131"/>
      <c r="G933" s="131"/>
      <c r="H933" s="131"/>
      <c r="I933" s="131"/>
      <c r="L933" s="135"/>
    </row>
    <row r="934" spans="3:12">
      <c r="C934" s="136"/>
      <c r="D934" s="136"/>
      <c r="E934" s="136"/>
      <c r="F934" s="131"/>
      <c r="G934" s="131"/>
      <c r="H934" s="131"/>
      <c r="I934" s="131"/>
      <c r="L934" s="135"/>
    </row>
    <row r="935" spans="3:12">
      <c r="C935" s="136"/>
      <c r="D935" s="136"/>
      <c r="E935" s="136"/>
      <c r="F935" s="131"/>
      <c r="G935" s="131"/>
      <c r="H935" s="131"/>
      <c r="I935" s="131"/>
      <c r="L935" s="135"/>
    </row>
    <row r="936" spans="3:12">
      <c r="C936" s="136"/>
      <c r="D936" s="136"/>
      <c r="E936" s="136"/>
      <c r="F936" s="131"/>
      <c r="G936" s="131"/>
      <c r="H936" s="131"/>
      <c r="I936" s="131"/>
      <c r="L936" s="135"/>
    </row>
    <row r="937" spans="3:12">
      <c r="C937" s="136"/>
      <c r="D937" s="136"/>
      <c r="E937" s="136"/>
      <c r="F937" s="131"/>
      <c r="G937" s="131"/>
      <c r="H937" s="131"/>
      <c r="I937" s="131"/>
      <c r="L937" s="135"/>
    </row>
    <row r="938" spans="3:12">
      <c r="C938" s="136"/>
      <c r="D938" s="136"/>
      <c r="E938" s="136"/>
      <c r="F938" s="131"/>
      <c r="G938" s="131"/>
      <c r="H938" s="131"/>
      <c r="I938" s="131"/>
      <c r="L938" s="135"/>
    </row>
    <row r="939" spans="3:12">
      <c r="C939" s="136"/>
      <c r="D939" s="136"/>
      <c r="E939" s="136"/>
      <c r="F939" s="131"/>
      <c r="G939" s="131"/>
      <c r="H939" s="131"/>
      <c r="I939" s="131"/>
      <c r="L939" s="135"/>
    </row>
    <row r="940" spans="3:12">
      <c r="C940" s="136"/>
      <c r="D940" s="136"/>
      <c r="E940" s="136"/>
      <c r="F940" s="131"/>
      <c r="G940" s="131"/>
      <c r="H940" s="131"/>
      <c r="I940" s="131"/>
      <c r="L940" s="135"/>
    </row>
    <row r="941" spans="3:12">
      <c r="C941" s="136"/>
      <c r="D941" s="136"/>
      <c r="E941" s="136"/>
      <c r="F941" s="131"/>
      <c r="G941" s="131"/>
      <c r="H941" s="131"/>
      <c r="I941" s="131"/>
      <c r="L941" s="135"/>
    </row>
    <row r="942" spans="3:12">
      <c r="C942" s="136"/>
      <c r="D942" s="136"/>
      <c r="E942" s="136"/>
      <c r="F942" s="131"/>
      <c r="G942" s="131"/>
      <c r="H942" s="131"/>
      <c r="I942" s="131"/>
      <c r="L942" s="135"/>
    </row>
    <row r="943" spans="3:12">
      <c r="C943" s="136"/>
      <c r="D943" s="136"/>
      <c r="E943" s="136"/>
      <c r="F943" s="131"/>
      <c r="G943" s="131"/>
      <c r="H943" s="131"/>
      <c r="I943" s="131"/>
      <c r="L943" s="135"/>
    </row>
    <row r="944" spans="3:12">
      <c r="C944" s="136"/>
      <c r="D944" s="136"/>
      <c r="E944" s="136"/>
      <c r="F944" s="131"/>
      <c r="G944" s="131"/>
      <c r="H944" s="131"/>
      <c r="I944" s="131"/>
      <c r="L944" s="135"/>
    </row>
    <row r="945" spans="3:12">
      <c r="C945" s="136"/>
      <c r="D945" s="136"/>
      <c r="E945" s="136"/>
      <c r="F945" s="131"/>
      <c r="G945" s="131"/>
      <c r="H945" s="131"/>
      <c r="I945" s="131"/>
      <c r="L945" s="135"/>
    </row>
    <row r="946" spans="3:12">
      <c r="C946" s="136"/>
      <c r="D946" s="136"/>
      <c r="E946" s="136"/>
      <c r="F946" s="131"/>
      <c r="G946" s="131"/>
      <c r="H946" s="131"/>
      <c r="I946" s="131"/>
      <c r="L946" s="135"/>
    </row>
    <row r="947" spans="3:12">
      <c r="C947" s="136"/>
      <c r="D947" s="136"/>
      <c r="E947" s="136"/>
      <c r="F947" s="131"/>
      <c r="G947" s="131"/>
      <c r="H947" s="131"/>
      <c r="I947" s="131"/>
      <c r="L947" s="135"/>
    </row>
    <row r="948" spans="3:12">
      <c r="C948" s="136"/>
      <c r="D948" s="136"/>
      <c r="E948" s="136"/>
      <c r="F948" s="131"/>
      <c r="G948" s="131"/>
      <c r="H948" s="131"/>
      <c r="I948" s="131"/>
      <c r="L948" s="135"/>
    </row>
    <row r="949" spans="3:12">
      <c r="C949" s="136"/>
      <c r="D949" s="136"/>
      <c r="E949" s="136"/>
      <c r="F949" s="131"/>
      <c r="G949" s="131"/>
      <c r="H949" s="131"/>
      <c r="I949" s="131"/>
      <c r="L949" s="135"/>
    </row>
    <row r="950" spans="3:12">
      <c r="C950" s="136"/>
      <c r="D950" s="136"/>
      <c r="E950" s="136"/>
      <c r="F950" s="131"/>
      <c r="G950" s="131"/>
      <c r="H950" s="131"/>
      <c r="I950" s="131"/>
      <c r="L950" s="135"/>
    </row>
    <row r="951" spans="3:12">
      <c r="C951" s="136"/>
      <c r="D951" s="136"/>
      <c r="E951" s="136"/>
      <c r="F951" s="131"/>
      <c r="G951" s="131"/>
      <c r="H951" s="131"/>
      <c r="I951" s="131"/>
      <c r="L951" s="135"/>
    </row>
    <row r="952" spans="3:12">
      <c r="C952" s="136"/>
      <c r="D952" s="136"/>
      <c r="E952" s="136"/>
      <c r="F952" s="131"/>
      <c r="G952" s="131"/>
      <c r="H952" s="131"/>
      <c r="I952" s="131"/>
      <c r="L952" s="135"/>
    </row>
    <row r="953" spans="3:12">
      <c r="C953" s="136"/>
      <c r="D953" s="136"/>
      <c r="E953" s="136"/>
      <c r="F953" s="131"/>
      <c r="G953" s="131"/>
      <c r="H953" s="131"/>
      <c r="I953" s="131"/>
      <c r="L953" s="135"/>
    </row>
    <row r="954" spans="3:12">
      <c r="C954" s="136"/>
      <c r="D954" s="136"/>
      <c r="E954" s="136"/>
      <c r="F954" s="131"/>
      <c r="G954" s="131"/>
      <c r="H954" s="131"/>
      <c r="I954" s="131"/>
      <c r="L954" s="135"/>
    </row>
    <row r="955" spans="3:12">
      <c r="C955" s="136"/>
      <c r="D955" s="136"/>
      <c r="E955" s="136"/>
      <c r="F955" s="131"/>
      <c r="G955" s="131"/>
      <c r="H955" s="131"/>
      <c r="I955" s="131"/>
      <c r="L955" s="135"/>
    </row>
    <row r="956" spans="3:12">
      <c r="C956" s="136"/>
      <c r="D956" s="136"/>
      <c r="E956" s="136"/>
      <c r="F956" s="131"/>
      <c r="G956" s="131"/>
      <c r="H956" s="131"/>
      <c r="I956" s="131"/>
      <c r="L956" s="135"/>
    </row>
    <row r="957" spans="3:12">
      <c r="C957" s="136"/>
      <c r="D957" s="136"/>
      <c r="E957" s="136"/>
      <c r="F957" s="131"/>
      <c r="G957" s="131"/>
      <c r="H957" s="131"/>
      <c r="I957" s="131"/>
      <c r="L957" s="135"/>
    </row>
    <row r="958" spans="3:12">
      <c r="C958" s="136"/>
      <c r="D958" s="136"/>
      <c r="E958" s="136"/>
      <c r="F958" s="131"/>
      <c r="G958" s="131"/>
      <c r="H958" s="131"/>
      <c r="I958" s="131"/>
      <c r="L958" s="135"/>
    </row>
    <row r="959" spans="3:12">
      <c r="C959" s="136"/>
      <c r="D959" s="136"/>
      <c r="E959" s="136"/>
      <c r="F959" s="131"/>
      <c r="G959" s="131"/>
      <c r="H959" s="131"/>
      <c r="I959" s="131"/>
      <c r="L959" s="135"/>
    </row>
    <row r="960" spans="3:12">
      <c r="C960" s="136"/>
      <c r="D960" s="136"/>
      <c r="E960" s="136"/>
      <c r="F960" s="131"/>
      <c r="G960" s="131"/>
      <c r="H960" s="131"/>
      <c r="I960" s="131"/>
      <c r="L960" s="135"/>
    </row>
    <row r="961" spans="3:12">
      <c r="C961" s="136"/>
      <c r="D961" s="136"/>
      <c r="E961" s="136"/>
      <c r="F961" s="131"/>
      <c r="G961" s="131"/>
      <c r="H961" s="131"/>
      <c r="I961" s="131"/>
      <c r="L961" s="135"/>
    </row>
    <row r="962" spans="3:12">
      <c r="C962" s="136"/>
      <c r="D962" s="136"/>
      <c r="E962" s="136"/>
      <c r="F962" s="131"/>
      <c r="G962" s="131"/>
      <c r="H962" s="131"/>
      <c r="I962" s="131"/>
      <c r="L962" s="135"/>
    </row>
    <row r="963" spans="3:12">
      <c r="C963" s="136"/>
      <c r="D963" s="136"/>
      <c r="E963" s="136"/>
      <c r="F963" s="131"/>
      <c r="G963" s="131"/>
      <c r="H963" s="131"/>
      <c r="I963" s="131"/>
      <c r="L963" s="135"/>
    </row>
    <row r="964" spans="3:12">
      <c r="C964" s="136"/>
      <c r="D964" s="136"/>
      <c r="E964" s="136"/>
      <c r="F964" s="131"/>
      <c r="G964" s="131"/>
      <c r="H964" s="131"/>
      <c r="I964" s="131"/>
      <c r="L964" s="135"/>
    </row>
    <row r="965" spans="3:12">
      <c r="C965" s="136"/>
      <c r="D965" s="136"/>
      <c r="E965" s="136"/>
      <c r="F965" s="131"/>
      <c r="G965" s="131"/>
      <c r="H965" s="131"/>
      <c r="I965" s="131"/>
      <c r="L965" s="135"/>
    </row>
    <row r="966" spans="3:12">
      <c r="C966" s="136"/>
      <c r="D966" s="136"/>
      <c r="E966" s="136"/>
      <c r="F966" s="131"/>
      <c r="G966" s="131"/>
      <c r="H966" s="131"/>
      <c r="I966" s="131"/>
      <c r="L966" s="135"/>
    </row>
    <row r="967" spans="3:12">
      <c r="C967" s="136"/>
      <c r="D967" s="136"/>
      <c r="E967" s="136"/>
      <c r="F967" s="131"/>
      <c r="G967" s="131"/>
      <c r="H967" s="131"/>
      <c r="I967" s="131"/>
      <c r="L967" s="135"/>
    </row>
    <row r="968" spans="3:12">
      <c r="C968" s="136"/>
      <c r="D968" s="136"/>
      <c r="E968" s="136"/>
      <c r="F968" s="131"/>
      <c r="G968" s="131"/>
      <c r="H968" s="131"/>
      <c r="I968" s="131"/>
      <c r="L968" s="135"/>
    </row>
    <row r="969" spans="3:12">
      <c r="C969" s="136"/>
      <c r="D969" s="136"/>
      <c r="E969" s="136"/>
      <c r="F969" s="131"/>
      <c r="G969" s="131"/>
      <c r="H969" s="131"/>
      <c r="I969" s="131"/>
      <c r="L969" s="135"/>
    </row>
    <row r="970" spans="3:12">
      <c r="C970" s="136"/>
      <c r="D970" s="136"/>
      <c r="E970" s="136"/>
      <c r="F970" s="131"/>
      <c r="G970" s="131"/>
      <c r="H970" s="131"/>
      <c r="I970" s="131"/>
      <c r="L970" s="135"/>
    </row>
    <row r="971" spans="3:12">
      <c r="C971" s="136"/>
      <c r="D971" s="136"/>
      <c r="E971" s="136"/>
      <c r="F971" s="131"/>
      <c r="G971" s="131"/>
      <c r="H971" s="131"/>
      <c r="I971" s="131"/>
      <c r="L971" s="135"/>
    </row>
    <row r="972" spans="3:12">
      <c r="C972" s="136"/>
      <c r="D972" s="136"/>
      <c r="E972" s="136"/>
      <c r="F972" s="131"/>
      <c r="G972" s="131"/>
      <c r="H972" s="131"/>
      <c r="I972" s="131"/>
      <c r="L972" s="135"/>
    </row>
    <row r="973" spans="3:12">
      <c r="C973" s="136"/>
      <c r="D973" s="136"/>
      <c r="E973" s="136"/>
      <c r="F973" s="131"/>
      <c r="G973" s="131"/>
      <c r="H973" s="131"/>
      <c r="I973" s="131"/>
      <c r="L973" s="135"/>
    </row>
    <row r="974" spans="3:12">
      <c r="C974" s="136"/>
      <c r="D974" s="136"/>
      <c r="E974" s="136"/>
      <c r="F974" s="131"/>
      <c r="G974" s="131"/>
      <c r="H974" s="131"/>
      <c r="I974" s="131"/>
      <c r="L974" s="135"/>
    </row>
    <row r="975" spans="3:12">
      <c r="C975" s="136"/>
      <c r="D975" s="136"/>
      <c r="E975" s="136"/>
      <c r="F975" s="131"/>
      <c r="G975" s="131"/>
      <c r="H975" s="131"/>
      <c r="I975" s="131"/>
      <c r="L975" s="135"/>
    </row>
    <row r="976" spans="3:12">
      <c r="C976" s="136"/>
      <c r="D976" s="136"/>
      <c r="E976" s="136"/>
      <c r="F976" s="131"/>
      <c r="G976" s="131"/>
      <c r="H976" s="131"/>
      <c r="I976" s="131"/>
      <c r="L976" s="135"/>
    </row>
    <row r="977" spans="3:12">
      <c r="C977" s="136"/>
      <c r="D977" s="136"/>
      <c r="E977" s="136"/>
      <c r="F977" s="131"/>
      <c r="G977" s="131"/>
      <c r="H977" s="131"/>
      <c r="I977" s="131"/>
      <c r="L977" s="135"/>
    </row>
    <row r="978" spans="3:12">
      <c r="C978" s="136"/>
      <c r="D978" s="136"/>
      <c r="E978" s="136"/>
      <c r="F978" s="131"/>
      <c r="G978" s="131"/>
      <c r="H978" s="131"/>
      <c r="I978" s="131"/>
      <c r="L978" s="135"/>
    </row>
    <row r="979" spans="3:12">
      <c r="C979" s="136"/>
      <c r="D979" s="136"/>
      <c r="E979" s="136"/>
      <c r="F979" s="131"/>
      <c r="G979" s="131"/>
      <c r="H979" s="131"/>
      <c r="I979" s="131"/>
      <c r="L979" s="135"/>
    </row>
    <row r="980" spans="3:12">
      <c r="C980" s="136"/>
      <c r="D980" s="136"/>
      <c r="E980" s="136"/>
      <c r="F980" s="131"/>
      <c r="G980" s="131"/>
      <c r="H980" s="131"/>
      <c r="I980" s="131"/>
      <c r="L980" s="135"/>
    </row>
    <row r="981" spans="3:12">
      <c r="C981" s="136"/>
      <c r="D981" s="136"/>
      <c r="E981" s="136"/>
      <c r="F981" s="131"/>
      <c r="G981" s="131"/>
      <c r="H981" s="131"/>
      <c r="I981" s="131"/>
      <c r="L981" s="135"/>
    </row>
    <row r="982" spans="3:12">
      <c r="C982" s="136"/>
      <c r="D982" s="136"/>
      <c r="E982" s="136"/>
      <c r="F982" s="131"/>
      <c r="G982" s="131"/>
      <c r="H982" s="131"/>
      <c r="I982" s="131"/>
      <c r="L982" s="135"/>
    </row>
    <row r="983" spans="3:12">
      <c r="C983" s="136"/>
      <c r="D983" s="136"/>
      <c r="E983" s="136"/>
      <c r="F983" s="131"/>
      <c r="G983" s="131"/>
      <c r="H983" s="131"/>
      <c r="I983" s="131"/>
      <c r="L983" s="135"/>
    </row>
    <row r="984" spans="3:12">
      <c r="C984" s="136"/>
      <c r="D984" s="136"/>
      <c r="E984" s="136"/>
      <c r="F984" s="131"/>
      <c r="G984" s="131"/>
      <c r="H984" s="131"/>
      <c r="I984" s="131"/>
      <c r="L984" s="135"/>
    </row>
    <row r="985" spans="3:12">
      <c r="C985" s="136"/>
      <c r="D985" s="136"/>
      <c r="E985" s="136"/>
      <c r="F985" s="131"/>
      <c r="G985" s="131"/>
      <c r="H985" s="131"/>
      <c r="I985" s="131"/>
      <c r="L985" s="135"/>
    </row>
    <row r="986" spans="3:12">
      <c r="C986" s="136"/>
      <c r="D986" s="136"/>
      <c r="E986" s="136"/>
      <c r="F986" s="131"/>
      <c r="G986" s="131"/>
      <c r="H986" s="131"/>
      <c r="I986" s="131"/>
      <c r="L986" s="135"/>
    </row>
    <row r="987" spans="3:12">
      <c r="C987" s="136"/>
      <c r="D987" s="136"/>
      <c r="E987" s="136"/>
      <c r="F987" s="131"/>
      <c r="G987" s="131"/>
      <c r="H987" s="131"/>
      <c r="I987" s="131"/>
      <c r="L987" s="135"/>
    </row>
    <row r="988" spans="3:12">
      <c r="C988" s="136"/>
      <c r="D988" s="136"/>
      <c r="E988" s="136"/>
      <c r="F988" s="131"/>
      <c r="G988" s="131"/>
      <c r="H988" s="131"/>
      <c r="I988" s="131"/>
      <c r="L988" s="135"/>
    </row>
    <row r="989" spans="3:12">
      <c r="C989" s="136"/>
      <c r="D989" s="136"/>
      <c r="E989" s="136"/>
      <c r="F989" s="131"/>
      <c r="G989" s="131"/>
      <c r="H989" s="131"/>
      <c r="I989" s="131"/>
      <c r="L989" s="135"/>
    </row>
    <row r="990" spans="3:12">
      <c r="C990" s="136"/>
      <c r="D990" s="136"/>
      <c r="E990" s="136"/>
      <c r="F990" s="131"/>
      <c r="G990" s="131"/>
      <c r="H990" s="131"/>
      <c r="I990" s="131"/>
      <c r="L990" s="135"/>
    </row>
    <row r="991" spans="3:12">
      <c r="C991" s="136"/>
      <c r="D991" s="136"/>
      <c r="E991" s="136"/>
      <c r="F991" s="131"/>
      <c r="G991" s="131"/>
      <c r="H991" s="131"/>
      <c r="I991" s="131"/>
      <c r="L991" s="135"/>
    </row>
    <row r="992" spans="3:12">
      <c r="C992" s="136"/>
      <c r="D992" s="136"/>
      <c r="E992" s="136"/>
      <c r="F992" s="131"/>
      <c r="G992" s="131"/>
      <c r="H992" s="131"/>
      <c r="I992" s="131"/>
      <c r="L992" s="135"/>
    </row>
    <row r="993" spans="3:12">
      <c r="C993" s="136"/>
      <c r="D993" s="136"/>
      <c r="E993" s="136"/>
      <c r="F993" s="131"/>
      <c r="G993" s="131"/>
      <c r="H993" s="131"/>
      <c r="I993" s="131"/>
      <c r="L993" s="135"/>
    </row>
    <row r="994" spans="3:12">
      <c r="C994" s="136"/>
      <c r="D994" s="136"/>
      <c r="E994" s="136"/>
      <c r="F994" s="131"/>
      <c r="G994" s="131"/>
      <c r="H994" s="131"/>
      <c r="I994" s="131"/>
      <c r="L994" s="135"/>
    </row>
    <row r="995" spans="3:12">
      <c r="C995" s="136"/>
      <c r="D995" s="136"/>
      <c r="E995" s="136"/>
      <c r="F995" s="131"/>
      <c r="G995" s="131"/>
      <c r="H995" s="131"/>
      <c r="I995" s="131"/>
      <c r="L995" s="135"/>
    </row>
    <row r="996" spans="3:12">
      <c r="C996" s="136"/>
      <c r="D996" s="136"/>
      <c r="E996" s="136"/>
      <c r="F996" s="131"/>
      <c r="G996" s="131"/>
      <c r="H996" s="131"/>
      <c r="I996" s="131"/>
      <c r="L996" s="135"/>
    </row>
    <row r="997" spans="3:12">
      <c r="C997" s="136"/>
      <c r="D997" s="136"/>
      <c r="E997" s="136"/>
      <c r="F997" s="131"/>
      <c r="G997" s="131"/>
      <c r="H997" s="131"/>
      <c r="I997" s="131"/>
      <c r="L997" s="135"/>
    </row>
    <row r="998" spans="3:12">
      <c r="C998" s="136"/>
      <c r="D998" s="136"/>
      <c r="E998" s="136"/>
      <c r="F998" s="131"/>
      <c r="G998" s="131"/>
      <c r="H998" s="131"/>
      <c r="I998" s="131"/>
      <c r="L998" s="135"/>
    </row>
    <row r="999" spans="3:12">
      <c r="C999" s="136"/>
      <c r="D999" s="136"/>
      <c r="E999" s="136"/>
      <c r="F999" s="131"/>
      <c r="G999" s="131"/>
      <c r="H999" s="131"/>
      <c r="I999" s="131"/>
      <c r="L999" s="135"/>
    </row>
    <row r="1000" spans="3:12">
      <c r="C1000" s="136"/>
      <c r="D1000" s="136"/>
      <c r="E1000" s="136"/>
      <c r="F1000" s="131"/>
      <c r="G1000" s="131"/>
      <c r="H1000" s="131"/>
      <c r="I1000" s="131"/>
      <c r="L1000" s="135"/>
    </row>
    <row r="1001" spans="3:12">
      <c r="C1001" s="136"/>
      <c r="D1001" s="136"/>
      <c r="E1001" s="136"/>
      <c r="F1001" s="131"/>
      <c r="G1001" s="131"/>
      <c r="H1001" s="131"/>
      <c r="I1001" s="131"/>
      <c r="L1001" s="135"/>
    </row>
    <row r="1002" spans="3:12">
      <c r="C1002" s="136"/>
      <c r="D1002" s="136"/>
      <c r="E1002" s="136"/>
      <c r="F1002" s="131"/>
      <c r="G1002" s="131"/>
      <c r="H1002" s="131"/>
      <c r="I1002" s="131"/>
      <c r="L1002" s="135"/>
    </row>
    <row r="1003" spans="3:12">
      <c r="C1003" s="136"/>
      <c r="D1003" s="136"/>
      <c r="E1003" s="136"/>
      <c r="F1003" s="131"/>
      <c r="G1003" s="131"/>
      <c r="H1003" s="131"/>
      <c r="I1003" s="131"/>
      <c r="L1003" s="135"/>
    </row>
    <row r="1004" spans="3:12">
      <c r="C1004" s="136"/>
      <c r="D1004" s="136"/>
      <c r="E1004" s="136"/>
      <c r="F1004" s="131"/>
      <c r="G1004" s="131"/>
      <c r="H1004" s="131"/>
      <c r="I1004" s="131"/>
      <c r="L1004" s="135"/>
    </row>
    <row r="1005" spans="3:12">
      <c r="C1005" s="136"/>
      <c r="D1005" s="136"/>
      <c r="E1005" s="136"/>
      <c r="F1005" s="131"/>
      <c r="G1005" s="131"/>
      <c r="H1005" s="131"/>
      <c r="I1005" s="131"/>
      <c r="L1005" s="135"/>
    </row>
    <row r="1006" spans="3:12">
      <c r="C1006" s="136"/>
      <c r="D1006" s="136"/>
      <c r="E1006" s="136"/>
      <c r="F1006" s="131"/>
      <c r="G1006" s="131"/>
      <c r="H1006" s="131"/>
      <c r="I1006" s="131"/>
      <c r="L1006" s="135"/>
    </row>
    <row r="1007" spans="3:12">
      <c r="C1007" s="136"/>
      <c r="D1007" s="136"/>
      <c r="E1007" s="136"/>
      <c r="F1007" s="131"/>
      <c r="G1007" s="131"/>
      <c r="H1007" s="131"/>
      <c r="I1007" s="131"/>
      <c r="L1007" s="135"/>
    </row>
    <row r="1008" spans="3:12">
      <c r="C1008" s="136"/>
      <c r="D1008" s="136"/>
      <c r="E1008" s="136"/>
      <c r="F1008" s="131"/>
      <c r="G1008" s="131"/>
      <c r="H1008" s="131"/>
      <c r="I1008" s="131"/>
      <c r="L1008" s="135"/>
    </row>
    <row r="1009" spans="3:12">
      <c r="C1009" s="136"/>
      <c r="D1009" s="136"/>
      <c r="E1009" s="136"/>
      <c r="F1009" s="131"/>
      <c r="G1009" s="131"/>
      <c r="H1009" s="131"/>
      <c r="I1009" s="131"/>
      <c r="L1009" s="135"/>
    </row>
    <row r="1010" spans="3:12">
      <c r="C1010" s="136"/>
      <c r="D1010" s="136"/>
      <c r="E1010" s="136"/>
      <c r="F1010" s="131"/>
      <c r="G1010" s="131"/>
      <c r="H1010" s="131"/>
      <c r="I1010" s="131"/>
      <c r="L1010" s="135"/>
    </row>
    <row r="1011" spans="3:12">
      <c r="C1011" s="136"/>
      <c r="D1011" s="136"/>
      <c r="E1011" s="136"/>
      <c r="F1011" s="131"/>
      <c r="G1011" s="131"/>
      <c r="H1011" s="131"/>
      <c r="I1011" s="131"/>
      <c r="L1011" s="135"/>
    </row>
    <row r="1012" spans="3:12">
      <c r="C1012" s="136"/>
      <c r="D1012" s="136"/>
      <c r="E1012" s="136"/>
      <c r="F1012" s="131"/>
      <c r="G1012" s="131"/>
      <c r="H1012" s="131"/>
      <c r="I1012" s="131"/>
      <c r="L1012" s="135"/>
    </row>
    <row r="1013" spans="3:12">
      <c r="C1013" s="136"/>
      <c r="D1013" s="136"/>
      <c r="E1013" s="136"/>
      <c r="F1013" s="131"/>
      <c r="G1013" s="131"/>
      <c r="H1013" s="131"/>
      <c r="I1013" s="131"/>
      <c r="L1013" s="135"/>
    </row>
    <row r="1014" spans="3:12">
      <c r="C1014" s="136"/>
      <c r="D1014" s="136"/>
      <c r="E1014" s="136"/>
      <c r="F1014" s="131"/>
      <c r="G1014" s="131"/>
      <c r="H1014" s="131"/>
      <c r="I1014" s="131"/>
      <c r="L1014" s="135"/>
    </row>
    <row r="1015" spans="3:12">
      <c r="C1015" s="136"/>
      <c r="D1015" s="136"/>
      <c r="E1015" s="136"/>
      <c r="F1015" s="131"/>
      <c r="G1015" s="131"/>
      <c r="H1015" s="131"/>
      <c r="I1015" s="131"/>
      <c r="L1015" s="135"/>
    </row>
    <row r="1016" spans="3:12">
      <c r="C1016" s="136"/>
      <c r="D1016" s="136"/>
      <c r="E1016" s="136"/>
      <c r="F1016" s="131"/>
      <c r="G1016" s="131"/>
      <c r="H1016" s="131"/>
      <c r="I1016" s="131"/>
      <c r="L1016" s="135"/>
    </row>
    <row r="1017" spans="3:12">
      <c r="C1017" s="136"/>
      <c r="D1017" s="136"/>
      <c r="E1017" s="136"/>
      <c r="F1017" s="131"/>
      <c r="G1017" s="131"/>
      <c r="H1017" s="131"/>
      <c r="I1017" s="131"/>
      <c r="L1017" s="135"/>
    </row>
    <row r="1018" spans="3:12">
      <c r="C1018" s="136"/>
      <c r="D1018" s="136"/>
      <c r="E1018" s="136"/>
      <c r="F1018" s="131"/>
      <c r="G1018" s="131"/>
      <c r="H1018" s="131"/>
      <c r="I1018" s="131"/>
      <c r="L1018" s="135"/>
    </row>
    <row r="1019" spans="3:12">
      <c r="C1019" s="136"/>
      <c r="D1019" s="136"/>
      <c r="E1019" s="136"/>
      <c r="F1019" s="131"/>
      <c r="G1019" s="131"/>
      <c r="H1019" s="131"/>
      <c r="I1019" s="131"/>
      <c r="L1019" s="135"/>
    </row>
    <row r="1020" spans="3:12">
      <c r="C1020" s="136"/>
      <c r="D1020" s="136"/>
      <c r="E1020" s="136"/>
      <c r="F1020" s="131"/>
      <c r="G1020" s="131"/>
      <c r="H1020" s="131"/>
      <c r="I1020" s="131"/>
      <c r="L1020" s="135"/>
    </row>
    <row r="1021" spans="3:12">
      <c r="C1021" s="136"/>
      <c r="D1021" s="136"/>
      <c r="E1021" s="136"/>
      <c r="F1021" s="131"/>
      <c r="G1021" s="131"/>
      <c r="H1021" s="131"/>
      <c r="I1021" s="131"/>
      <c r="L1021" s="135"/>
    </row>
    <row r="1022" spans="3:12">
      <c r="C1022" s="136"/>
      <c r="D1022" s="136"/>
      <c r="E1022" s="136"/>
      <c r="F1022" s="131"/>
      <c r="G1022" s="131"/>
      <c r="H1022" s="131"/>
      <c r="I1022" s="131"/>
      <c r="L1022" s="135"/>
    </row>
    <row r="1023" spans="3:12">
      <c r="C1023" s="136"/>
      <c r="D1023" s="136"/>
      <c r="E1023" s="136"/>
      <c r="F1023" s="131"/>
      <c r="G1023" s="131"/>
      <c r="H1023" s="131"/>
      <c r="I1023" s="131"/>
      <c r="L1023" s="135"/>
    </row>
    <row r="1024" spans="3:12">
      <c r="C1024" s="136"/>
      <c r="D1024" s="136"/>
      <c r="E1024" s="136"/>
      <c r="F1024" s="131"/>
      <c r="G1024" s="131"/>
      <c r="H1024" s="131"/>
      <c r="I1024" s="131"/>
      <c r="L1024" s="135"/>
    </row>
    <row r="1025" spans="3:12">
      <c r="C1025" s="136"/>
      <c r="D1025" s="136"/>
      <c r="E1025" s="136"/>
      <c r="F1025" s="131"/>
      <c r="G1025" s="131"/>
      <c r="H1025" s="131"/>
      <c r="I1025" s="131"/>
      <c r="L1025" s="135"/>
    </row>
    <row r="1026" spans="3:12">
      <c r="C1026" s="136"/>
      <c r="D1026" s="136"/>
      <c r="E1026" s="136"/>
      <c r="F1026" s="131"/>
      <c r="G1026" s="131"/>
      <c r="H1026" s="131"/>
      <c r="I1026" s="131"/>
      <c r="L1026" s="135"/>
    </row>
    <row r="1027" spans="3:12">
      <c r="C1027" s="136"/>
      <c r="D1027" s="136"/>
      <c r="E1027" s="136"/>
      <c r="F1027" s="131"/>
      <c r="G1027" s="131"/>
      <c r="H1027" s="131"/>
      <c r="I1027" s="131"/>
      <c r="L1027" s="135"/>
    </row>
    <row r="1028" spans="3:12">
      <c r="C1028" s="136"/>
      <c r="D1028" s="136"/>
      <c r="E1028" s="136"/>
      <c r="F1028" s="131"/>
      <c r="G1028" s="131"/>
      <c r="H1028" s="131"/>
      <c r="I1028" s="131"/>
      <c r="L1028" s="135"/>
    </row>
    <row r="1029" spans="3:12">
      <c r="C1029" s="136"/>
      <c r="D1029" s="136"/>
      <c r="E1029" s="136"/>
      <c r="F1029" s="131"/>
      <c r="G1029" s="131"/>
      <c r="H1029" s="131"/>
      <c r="I1029" s="131"/>
      <c r="L1029" s="135"/>
    </row>
    <row r="1030" spans="3:12">
      <c r="C1030" s="136"/>
      <c r="D1030" s="136"/>
      <c r="E1030" s="136"/>
      <c r="F1030" s="131"/>
      <c r="G1030" s="131"/>
      <c r="H1030" s="131"/>
      <c r="I1030" s="131"/>
      <c r="L1030" s="135"/>
    </row>
    <row r="1031" spans="3:12">
      <c r="C1031" s="136"/>
      <c r="D1031" s="136"/>
      <c r="E1031" s="136"/>
      <c r="F1031" s="131"/>
      <c r="G1031" s="131"/>
      <c r="H1031" s="131"/>
      <c r="I1031" s="131"/>
      <c r="L1031" s="135"/>
    </row>
    <row r="1032" spans="3:12">
      <c r="C1032" s="136"/>
      <c r="D1032" s="136"/>
      <c r="E1032" s="136"/>
      <c r="F1032" s="131"/>
      <c r="G1032" s="131"/>
      <c r="H1032" s="131"/>
      <c r="I1032" s="131"/>
      <c r="L1032" s="135"/>
    </row>
    <row r="1033" spans="3:12">
      <c r="C1033" s="136"/>
      <c r="D1033" s="136"/>
      <c r="E1033" s="136"/>
      <c r="F1033" s="131"/>
      <c r="G1033" s="131"/>
      <c r="H1033" s="131"/>
      <c r="I1033" s="131"/>
      <c r="L1033" s="135"/>
    </row>
    <row r="1034" spans="3:12">
      <c r="C1034" s="136"/>
      <c r="D1034" s="136"/>
      <c r="E1034" s="136"/>
      <c r="F1034" s="131"/>
      <c r="G1034" s="131"/>
      <c r="H1034" s="131"/>
      <c r="I1034" s="131"/>
      <c r="L1034" s="135"/>
    </row>
    <row r="1035" spans="3:12">
      <c r="C1035" s="136"/>
      <c r="D1035" s="136"/>
      <c r="E1035" s="136"/>
      <c r="F1035" s="131"/>
      <c r="G1035" s="131"/>
      <c r="H1035" s="131"/>
      <c r="I1035" s="131"/>
      <c r="L1035" s="135"/>
    </row>
    <row r="1036" spans="3:12">
      <c r="C1036" s="136"/>
      <c r="D1036" s="136"/>
      <c r="E1036" s="136"/>
      <c r="F1036" s="131"/>
      <c r="G1036" s="131"/>
      <c r="H1036" s="131"/>
      <c r="I1036" s="131"/>
      <c r="L1036" s="135"/>
    </row>
    <row r="1037" spans="3:12">
      <c r="C1037" s="136"/>
      <c r="D1037" s="136"/>
      <c r="E1037" s="136"/>
      <c r="F1037" s="131"/>
      <c r="G1037" s="131"/>
      <c r="H1037" s="131"/>
      <c r="I1037" s="131"/>
      <c r="L1037" s="135"/>
    </row>
    <row r="1038" spans="3:12">
      <c r="C1038" s="136"/>
      <c r="D1038" s="136"/>
      <c r="E1038" s="136"/>
      <c r="F1038" s="131"/>
      <c r="G1038" s="131"/>
      <c r="H1038" s="131"/>
      <c r="I1038" s="131"/>
      <c r="L1038" s="135"/>
    </row>
    <row r="1039" spans="3:12">
      <c r="C1039" s="136"/>
      <c r="D1039" s="136"/>
      <c r="E1039" s="136"/>
      <c r="F1039" s="131"/>
      <c r="G1039" s="131"/>
      <c r="H1039" s="131"/>
      <c r="I1039" s="131"/>
      <c r="L1039" s="135"/>
    </row>
    <row r="1040" spans="3:12">
      <c r="C1040" s="136"/>
      <c r="D1040" s="136"/>
      <c r="E1040" s="136"/>
      <c r="F1040" s="131"/>
      <c r="G1040" s="131"/>
      <c r="H1040" s="131"/>
      <c r="I1040" s="131"/>
      <c r="L1040" s="135"/>
    </row>
    <row r="1041" spans="3:12">
      <c r="C1041" s="136"/>
      <c r="D1041" s="136"/>
      <c r="E1041" s="136"/>
      <c r="F1041" s="131"/>
      <c r="G1041" s="131"/>
      <c r="H1041" s="131"/>
      <c r="I1041" s="131"/>
      <c r="L1041" s="135"/>
    </row>
    <row r="1042" spans="3:12">
      <c r="C1042" s="136"/>
      <c r="D1042" s="136"/>
      <c r="E1042" s="136"/>
      <c r="F1042" s="131"/>
      <c r="G1042" s="131"/>
      <c r="H1042" s="131"/>
      <c r="I1042" s="131"/>
      <c r="L1042" s="135"/>
    </row>
    <row r="1043" spans="3:12">
      <c r="C1043" s="136"/>
      <c r="D1043" s="136"/>
      <c r="E1043" s="136"/>
      <c r="F1043" s="131"/>
      <c r="G1043" s="131"/>
      <c r="H1043" s="131"/>
      <c r="I1043" s="131"/>
      <c r="L1043" s="135"/>
    </row>
    <row r="1044" spans="3:12">
      <c r="C1044" s="136"/>
      <c r="D1044" s="136"/>
      <c r="E1044" s="136"/>
      <c r="F1044" s="131"/>
      <c r="G1044" s="131"/>
      <c r="H1044" s="131"/>
      <c r="I1044" s="131"/>
      <c r="L1044" s="135"/>
    </row>
    <row r="1045" spans="3:12">
      <c r="C1045" s="136"/>
      <c r="D1045" s="136"/>
      <c r="E1045" s="136"/>
      <c r="F1045" s="131"/>
      <c r="G1045" s="131"/>
      <c r="H1045" s="131"/>
      <c r="I1045" s="131"/>
      <c r="L1045" s="135"/>
    </row>
    <row r="1046" spans="3:12">
      <c r="C1046" s="136"/>
      <c r="D1046" s="136"/>
      <c r="E1046" s="136"/>
      <c r="F1046" s="131"/>
      <c r="G1046" s="131"/>
      <c r="H1046" s="131"/>
      <c r="I1046" s="131"/>
      <c r="L1046" s="135"/>
    </row>
    <row r="1047" spans="3:12">
      <c r="C1047" s="136"/>
      <c r="D1047" s="136"/>
      <c r="E1047" s="136"/>
      <c r="F1047" s="131"/>
      <c r="G1047" s="131"/>
      <c r="H1047" s="131"/>
      <c r="I1047" s="131"/>
      <c r="L1047" s="135"/>
    </row>
    <row r="1048" spans="3:12">
      <c r="C1048" s="136"/>
      <c r="D1048" s="136"/>
      <c r="E1048" s="136"/>
      <c r="F1048" s="131"/>
      <c r="G1048" s="131"/>
      <c r="H1048" s="131"/>
      <c r="I1048" s="131"/>
      <c r="L1048" s="135"/>
    </row>
    <row r="1049" spans="3:12">
      <c r="C1049" s="136"/>
      <c r="D1049" s="136"/>
      <c r="E1049" s="136"/>
      <c r="F1049" s="131"/>
      <c r="G1049" s="131"/>
      <c r="H1049" s="131"/>
      <c r="I1049" s="131"/>
      <c r="L1049" s="135"/>
    </row>
    <row r="1050" spans="3:12">
      <c r="C1050" s="136"/>
      <c r="D1050" s="136"/>
      <c r="E1050" s="136"/>
      <c r="F1050" s="131"/>
      <c r="G1050" s="131"/>
      <c r="H1050" s="131"/>
      <c r="I1050" s="131"/>
      <c r="L1050" s="135"/>
    </row>
    <row r="1051" spans="3:12">
      <c r="C1051" s="136"/>
      <c r="D1051" s="136"/>
      <c r="E1051" s="136"/>
      <c r="F1051" s="131"/>
      <c r="G1051" s="131"/>
      <c r="H1051" s="131"/>
      <c r="I1051" s="131"/>
      <c r="L1051" s="135"/>
    </row>
    <row r="1052" spans="3:12">
      <c r="C1052" s="136"/>
      <c r="D1052" s="136"/>
      <c r="E1052" s="136"/>
      <c r="F1052" s="131"/>
      <c r="G1052" s="131"/>
      <c r="H1052" s="131"/>
      <c r="I1052" s="131"/>
      <c r="L1052" s="135"/>
    </row>
    <row r="1053" spans="3:12">
      <c r="C1053" s="136"/>
      <c r="D1053" s="136"/>
      <c r="E1053" s="136"/>
      <c r="F1053" s="131"/>
      <c r="G1053" s="131"/>
      <c r="H1053" s="131"/>
      <c r="I1053" s="131"/>
      <c r="L1053" s="135"/>
    </row>
    <row r="1054" spans="3:12">
      <c r="C1054" s="136"/>
      <c r="D1054" s="136"/>
      <c r="E1054" s="136"/>
      <c r="F1054" s="131"/>
      <c r="G1054" s="131"/>
      <c r="H1054" s="131"/>
      <c r="I1054" s="131"/>
      <c r="L1054" s="135"/>
    </row>
    <row r="1055" spans="3:12">
      <c r="C1055" s="136"/>
      <c r="D1055" s="136"/>
      <c r="E1055" s="136"/>
      <c r="F1055" s="131"/>
      <c r="G1055" s="131"/>
      <c r="H1055" s="131"/>
      <c r="I1055" s="131"/>
      <c r="L1055" s="135"/>
    </row>
    <row r="1056" spans="3:12">
      <c r="C1056" s="136"/>
      <c r="D1056" s="136"/>
      <c r="E1056" s="136"/>
      <c r="F1056" s="131"/>
      <c r="G1056" s="131"/>
      <c r="H1056" s="131"/>
      <c r="I1056" s="131"/>
      <c r="L1056" s="135"/>
    </row>
    <row r="1057" spans="3:12">
      <c r="C1057" s="136"/>
      <c r="D1057" s="136"/>
      <c r="E1057" s="136"/>
      <c r="F1057" s="131"/>
      <c r="G1057" s="131"/>
      <c r="H1057" s="131"/>
      <c r="I1057" s="131"/>
      <c r="L1057" s="135"/>
    </row>
    <row r="1058" spans="3:12">
      <c r="C1058" s="136"/>
      <c r="D1058" s="136"/>
      <c r="E1058" s="136"/>
      <c r="F1058" s="131"/>
      <c r="G1058" s="131"/>
      <c r="H1058" s="131"/>
      <c r="I1058" s="131"/>
      <c r="L1058" s="135"/>
    </row>
    <row r="1059" spans="3:12">
      <c r="C1059" s="136"/>
      <c r="D1059" s="136"/>
      <c r="E1059" s="136"/>
      <c r="F1059" s="131"/>
      <c r="G1059" s="131"/>
      <c r="H1059" s="131"/>
      <c r="I1059" s="131"/>
      <c r="L1059" s="135"/>
    </row>
    <row r="1060" spans="3:12">
      <c r="C1060" s="136"/>
      <c r="D1060" s="136"/>
      <c r="E1060" s="136"/>
      <c r="F1060" s="131"/>
      <c r="G1060" s="131"/>
      <c r="H1060" s="131"/>
      <c r="I1060" s="131"/>
      <c r="L1060" s="135"/>
    </row>
    <row r="1061" spans="3:12">
      <c r="C1061" s="136"/>
      <c r="D1061" s="136"/>
      <c r="E1061" s="136"/>
      <c r="F1061" s="131"/>
      <c r="G1061" s="131"/>
      <c r="H1061" s="131"/>
      <c r="I1061" s="131"/>
      <c r="L1061" s="135"/>
    </row>
    <row r="1062" spans="3:12">
      <c r="C1062" s="136"/>
      <c r="D1062" s="136"/>
      <c r="E1062" s="136"/>
      <c r="F1062" s="131"/>
      <c r="G1062" s="131"/>
      <c r="H1062" s="131"/>
      <c r="I1062" s="131"/>
      <c r="L1062" s="135"/>
    </row>
    <row r="1063" spans="3:12">
      <c r="C1063" s="136"/>
      <c r="D1063" s="136"/>
      <c r="E1063" s="136"/>
      <c r="F1063" s="131"/>
      <c r="G1063" s="131"/>
      <c r="H1063" s="131"/>
      <c r="I1063" s="131"/>
      <c r="L1063" s="135"/>
    </row>
    <row r="1064" spans="3:12">
      <c r="C1064" s="136"/>
      <c r="D1064" s="136"/>
      <c r="E1064" s="136"/>
      <c r="F1064" s="131"/>
      <c r="G1064" s="131"/>
      <c r="H1064" s="131"/>
      <c r="I1064" s="131"/>
      <c r="L1064" s="135"/>
    </row>
    <row r="1065" spans="3:12">
      <c r="C1065" s="136"/>
      <c r="D1065" s="136"/>
      <c r="E1065" s="136"/>
      <c r="F1065" s="131"/>
      <c r="G1065" s="131"/>
      <c r="H1065" s="131"/>
      <c r="I1065" s="131"/>
      <c r="L1065" s="135"/>
    </row>
    <row r="1066" spans="3:12">
      <c r="C1066" s="136"/>
      <c r="D1066" s="136"/>
      <c r="E1066" s="136"/>
      <c r="F1066" s="131"/>
      <c r="G1066" s="131"/>
      <c r="H1066" s="131"/>
      <c r="I1066" s="131"/>
      <c r="L1066" s="135"/>
    </row>
    <row r="1067" spans="3:12">
      <c r="C1067" s="136"/>
      <c r="D1067" s="136"/>
      <c r="E1067" s="136"/>
      <c r="F1067" s="131"/>
      <c r="G1067" s="131"/>
      <c r="H1067" s="131"/>
      <c r="I1067" s="131"/>
      <c r="L1067" s="135"/>
    </row>
    <row r="1068" spans="3:12">
      <c r="C1068" s="136"/>
      <c r="D1068" s="136"/>
      <c r="E1068" s="136"/>
      <c r="F1068" s="131"/>
      <c r="G1068" s="131"/>
      <c r="H1068" s="131"/>
      <c r="I1068" s="131"/>
      <c r="L1068" s="135"/>
    </row>
    <row r="1069" spans="3:12">
      <c r="C1069" s="136"/>
      <c r="D1069" s="136"/>
      <c r="E1069" s="136"/>
      <c r="F1069" s="131"/>
      <c r="G1069" s="131"/>
      <c r="H1069" s="131"/>
      <c r="I1069" s="131"/>
      <c r="L1069" s="135"/>
    </row>
    <row r="1070" spans="3:12">
      <c r="C1070" s="136"/>
      <c r="D1070" s="136"/>
      <c r="E1070" s="136"/>
      <c r="F1070" s="131"/>
      <c r="G1070" s="131"/>
      <c r="H1070" s="131"/>
      <c r="I1070" s="131"/>
      <c r="L1070" s="135"/>
    </row>
    <row r="1071" spans="3:12">
      <c r="C1071" s="136"/>
      <c r="D1071" s="136"/>
      <c r="E1071" s="136"/>
      <c r="F1071" s="131"/>
      <c r="G1071" s="131"/>
      <c r="H1071" s="131"/>
      <c r="I1071" s="131"/>
      <c r="L1071" s="135"/>
    </row>
    <row r="1072" spans="3:12">
      <c r="C1072" s="136"/>
      <c r="D1072" s="136"/>
      <c r="E1072" s="136"/>
      <c r="F1072" s="131"/>
      <c r="G1072" s="131"/>
      <c r="H1072" s="131"/>
      <c r="I1072" s="131"/>
      <c r="L1072" s="135"/>
    </row>
    <row r="1073" spans="3:12">
      <c r="C1073" s="136"/>
      <c r="D1073" s="136"/>
      <c r="E1073" s="136"/>
      <c r="F1073" s="131"/>
      <c r="G1073" s="131"/>
      <c r="H1073" s="131"/>
      <c r="I1073" s="131"/>
      <c r="L1073" s="135"/>
    </row>
    <row r="1074" spans="3:12">
      <c r="C1074" s="136"/>
      <c r="D1074" s="136"/>
      <c r="E1074" s="136"/>
      <c r="F1074" s="131"/>
      <c r="G1074" s="131"/>
      <c r="H1074" s="131"/>
      <c r="I1074" s="131"/>
      <c r="L1074" s="135"/>
    </row>
    <row r="1075" spans="3:12">
      <c r="C1075" s="136"/>
      <c r="D1075" s="136"/>
      <c r="E1075" s="136"/>
      <c r="F1075" s="131"/>
      <c r="G1075" s="131"/>
      <c r="H1075" s="131"/>
      <c r="I1075" s="131"/>
      <c r="L1075" s="135"/>
    </row>
    <row r="1076" spans="3:12">
      <c r="C1076" s="136"/>
      <c r="D1076" s="136"/>
      <c r="E1076" s="136"/>
      <c r="F1076" s="131"/>
      <c r="G1076" s="131"/>
      <c r="H1076" s="131"/>
      <c r="I1076" s="131"/>
      <c r="L1076" s="135"/>
    </row>
    <row r="1077" spans="3:12">
      <c r="C1077" s="136"/>
      <c r="D1077" s="136"/>
      <c r="E1077" s="136"/>
      <c r="F1077" s="131"/>
      <c r="G1077" s="131"/>
      <c r="H1077" s="131"/>
      <c r="I1077" s="131"/>
      <c r="L1077" s="135"/>
    </row>
    <row r="1078" spans="3:12">
      <c r="C1078" s="136"/>
      <c r="D1078" s="136"/>
      <c r="E1078" s="136"/>
      <c r="F1078" s="131"/>
      <c r="G1078" s="131"/>
      <c r="H1078" s="131"/>
      <c r="I1078" s="131"/>
      <c r="L1078" s="135"/>
    </row>
    <row r="1079" spans="3:12">
      <c r="C1079" s="136"/>
      <c r="D1079" s="136"/>
      <c r="E1079" s="136"/>
      <c r="F1079" s="131"/>
      <c r="G1079" s="131"/>
      <c r="H1079" s="131"/>
      <c r="I1079" s="131"/>
      <c r="L1079" s="135"/>
    </row>
    <row r="1080" spans="3:12">
      <c r="C1080" s="136"/>
      <c r="D1080" s="136"/>
      <c r="E1080" s="136"/>
      <c r="F1080" s="131"/>
      <c r="G1080" s="131"/>
      <c r="H1080" s="131"/>
      <c r="I1080" s="131"/>
      <c r="L1080" s="135"/>
    </row>
    <row r="1081" spans="3:12">
      <c r="C1081" s="136"/>
      <c r="D1081" s="136"/>
      <c r="E1081" s="136"/>
      <c r="F1081" s="131"/>
      <c r="G1081" s="131"/>
      <c r="H1081" s="131"/>
      <c r="I1081" s="131"/>
      <c r="L1081" s="135"/>
    </row>
    <row r="1082" spans="3:12">
      <c r="C1082" s="136"/>
      <c r="D1082" s="136"/>
      <c r="E1082" s="136"/>
      <c r="F1082" s="131"/>
      <c r="G1082" s="131"/>
      <c r="H1082" s="131"/>
      <c r="I1082" s="131"/>
      <c r="L1082" s="135"/>
    </row>
    <row r="1083" spans="3:12">
      <c r="C1083" s="136"/>
      <c r="D1083" s="136"/>
      <c r="E1083" s="136"/>
      <c r="F1083" s="131"/>
      <c r="G1083" s="131"/>
      <c r="H1083" s="131"/>
      <c r="I1083" s="131"/>
      <c r="L1083" s="135"/>
    </row>
    <row r="1084" spans="3:12">
      <c r="C1084" s="136"/>
      <c r="D1084" s="136"/>
      <c r="E1084" s="136"/>
      <c r="F1084" s="131"/>
      <c r="G1084" s="131"/>
      <c r="H1084" s="131"/>
      <c r="I1084" s="131"/>
      <c r="L1084" s="135"/>
    </row>
    <row r="1085" spans="3:12">
      <c r="C1085" s="136"/>
      <c r="D1085" s="136"/>
      <c r="E1085" s="136"/>
      <c r="F1085" s="131"/>
      <c r="G1085" s="131"/>
      <c r="H1085" s="131"/>
      <c r="I1085" s="131"/>
      <c r="L1085" s="135"/>
    </row>
    <row r="1086" spans="3:12">
      <c r="C1086" s="136"/>
      <c r="D1086" s="136"/>
      <c r="E1086" s="136"/>
      <c r="F1086" s="131"/>
      <c r="G1086" s="131"/>
      <c r="H1086" s="131"/>
      <c r="I1086" s="131"/>
      <c r="L1086" s="135"/>
    </row>
    <row r="1087" spans="3:12">
      <c r="C1087" s="136"/>
      <c r="D1087" s="136"/>
      <c r="E1087" s="136"/>
      <c r="F1087" s="131"/>
      <c r="G1087" s="131"/>
      <c r="H1087" s="131"/>
      <c r="I1087" s="131"/>
      <c r="L1087" s="135"/>
    </row>
    <row r="1088" spans="3:12">
      <c r="C1088" s="136"/>
      <c r="D1088" s="136"/>
      <c r="E1088" s="136"/>
      <c r="F1088" s="131"/>
      <c r="G1088" s="131"/>
      <c r="H1088" s="131"/>
      <c r="I1088" s="131"/>
      <c r="L1088" s="135"/>
    </row>
    <row r="1089" spans="3:12">
      <c r="C1089" s="136"/>
      <c r="D1089" s="136"/>
      <c r="E1089" s="136"/>
      <c r="F1089" s="131"/>
      <c r="G1089" s="131"/>
      <c r="H1089" s="131"/>
      <c r="I1089" s="131"/>
      <c r="L1089" s="135"/>
    </row>
    <row r="1090" spans="3:12">
      <c r="C1090" s="136"/>
      <c r="D1090" s="136"/>
      <c r="E1090" s="136"/>
      <c r="F1090" s="131"/>
      <c r="G1090" s="131"/>
      <c r="H1090" s="131"/>
      <c r="I1090" s="131"/>
      <c r="L1090" s="135"/>
    </row>
    <row r="1091" spans="3:12">
      <c r="C1091" s="136"/>
      <c r="D1091" s="136"/>
      <c r="E1091" s="136"/>
      <c r="F1091" s="131"/>
      <c r="G1091" s="131"/>
      <c r="H1091" s="131"/>
      <c r="I1091" s="131"/>
      <c r="L1091" s="135"/>
    </row>
    <row r="1092" spans="3:12">
      <c r="C1092" s="136"/>
      <c r="D1092" s="136"/>
      <c r="E1092" s="136"/>
      <c r="F1092" s="131"/>
      <c r="G1092" s="131"/>
      <c r="H1092" s="131"/>
      <c r="I1092" s="131"/>
      <c r="L1092" s="135"/>
    </row>
    <row r="1093" spans="3:12">
      <c r="C1093" s="136"/>
      <c r="D1093" s="136"/>
      <c r="E1093" s="136"/>
      <c r="F1093" s="131"/>
      <c r="G1093" s="131"/>
      <c r="H1093" s="131"/>
      <c r="I1093" s="131"/>
      <c r="L1093" s="135"/>
    </row>
    <row r="1094" spans="3:12">
      <c r="C1094" s="136"/>
      <c r="D1094" s="136"/>
      <c r="E1094" s="136"/>
      <c r="F1094" s="131"/>
      <c r="G1094" s="131"/>
      <c r="H1094" s="131"/>
      <c r="I1094" s="131"/>
      <c r="L1094" s="135"/>
    </row>
    <row r="1095" spans="3:12">
      <c r="C1095" s="136"/>
      <c r="D1095" s="136"/>
      <c r="E1095" s="136"/>
      <c r="F1095" s="131"/>
      <c r="G1095" s="131"/>
      <c r="H1095" s="131"/>
      <c r="I1095" s="131"/>
      <c r="L1095" s="135"/>
    </row>
    <row r="1096" spans="3:12">
      <c r="C1096" s="136"/>
      <c r="D1096" s="136"/>
      <c r="E1096" s="136"/>
      <c r="F1096" s="131"/>
      <c r="G1096" s="131"/>
      <c r="H1096" s="131"/>
      <c r="I1096" s="131"/>
      <c r="L1096" s="135"/>
    </row>
    <row r="1097" spans="3:12">
      <c r="C1097" s="136"/>
      <c r="D1097" s="136"/>
      <c r="E1097" s="136"/>
      <c r="F1097" s="131"/>
      <c r="G1097" s="131"/>
      <c r="H1097" s="131"/>
      <c r="I1097" s="131"/>
      <c r="L1097" s="135"/>
    </row>
    <row r="1098" spans="3:12">
      <c r="C1098" s="136"/>
      <c r="D1098" s="136"/>
      <c r="E1098" s="136"/>
      <c r="F1098" s="131"/>
      <c r="G1098" s="131"/>
      <c r="H1098" s="131"/>
      <c r="I1098" s="131"/>
      <c r="L1098" s="135"/>
    </row>
    <row r="1099" spans="3:12">
      <c r="C1099" s="136"/>
      <c r="D1099" s="136"/>
      <c r="E1099" s="136"/>
      <c r="F1099" s="131"/>
      <c r="G1099" s="131"/>
      <c r="H1099" s="131"/>
      <c r="I1099" s="131"/>
      <c r="L1099" s="135"/>
    </row>
    <row r="1100" spans="3:12">
      <c r="C1100" s="136"/>
      <c r="D1100" s="136"/>
      <c r="E1100" s="136"/>
      <c r="F1100" s="131"/>
      <c r="G1100" s="131"/>
      <c r="H1100" s="131"/>
      <c r="I1100" s="131"/>
      <c r="L1100" s="135"/>
    </row>
    <row r="1101" spans="3:12">
      <c r="C1101" s="136"/>
      <c r="D1101" s="136"/>
      <c r="E1101" s="136"/>
      <c r="F1101" s="131"/>
      <c r="G1101" s="131"/>
      <c r="H1101" s="131"/>
      <c r="I1101" s="131"/>
      <c r="L1101" s="135"/>
    </row>
    <row r="1102" spans="3:12">
      <c r="C1102" s="136"/>
      <c r="D1102" s="136"/>
      <c r="E1102" s="136"/>
      <c r="F1102" s="131"/>
      <c r="G1102" s="131"/>
      <c r="H1102" s="131"/>
      <c r="I1102" s="131"/>
      <c r="L1102" s="135"/>
    </row>
    <row r="1103" spans="3:12">
      <c r="C1103" s="136"/>
      <c r="D1103" s="136"/>
      <c r="E1103" s="136"/>
      <c r="F1103" s="131"/>
      <c r="G1103" s="131"/>
      <c r="H1103" s="131"/>
      <c r="I1103" s="131"/>
      <c r="L1103" s="135"/>
    </row>
    <row r="1104" spans="3:12">
      <c r="C1104" s="136"/>
      <c r="D1104" s="136"/>
      <c r="E1104" s="136"/>
      <c r="F1104" s="131"/>
      <c r="G1104" s="131"/>
      <c r="H1104" s="131"/>
      <c r="I1104" s="131"/>
      <c r="L1104" s="135"/>
    </row>
    <row r="1105" spans="3:12">
      <c r="C1105" s="136"/>
      <c r="D1105" s="136"/>
      <c r="E1105" s="136"/>
      <c r="F1105" s="131"/>
      <c r="G1105" s="131"/>
      <c r="H1105" s="131"/>
      <c r="I1105" s="131"/>
      <c r="L1105" s="135"/>
    </row>
    <row r="1106" spans="3:12">
      <c r="C1106" s="136"/>
      <c r="D1106" s="136"/>
      <c r="E1106" s="136"/>
      <c r="F1106" s="131"/>
      <c r="G1106" s="131"/>
      <c r="H1106" s="131"/>
      <c r="I1106" s="131"/>
      <c r="L1106" s="135"/>
    </row>
    <row r="1107" spans="3:12">
      <c r="C1107" s="136"/>
      <c r="D1107" s="136"/>
      <c r="E1107" s="136"/>
      <c r="F1107" s="131"/>
      <c r="G1107" s="131"/>
      <c r="H1107" s="131"/>
      <c r="I1107" s="131"/>
      <c r="L1107" s="135"/>
    </row>
    <row r="1108" spans="3:12">
      <c r="C1108" s="136"/>
      <c r="D1108" s="136"/>
      <c r="E1108" s="136"/>
      <c r="F1108" s="131"/>
      <c r="G1108" s="131"/>
      <c r="H1108" s="131"/>
      <c r="I1108" s="131"/>
      <c r="L1108" s="135"/>
    </row>
    <row r="1109" spans="3:12">
      <c r="C1109" s="136"/>
      <c r="D1109" s="136"/>
      <c r="E1109" s="136"/>
      <c r="F1109" s="131"/>
      <c r="G1109" s="131"/>
      <c r="H1109" s="131"/>
      <c r="I1109" s="131"/>
      <c r="L1109" s="135"/>
    </row>
    <row r="1110" spans="3:12">
      <c r="C1110" s="136"/>
      <c r="D1110" s="136"/>
      <c r="E1110" s="136"/>
      <c r="F1110" s="131"/>
      <c r="G1110" s="131"/>
      <c r="H1110" s="131"/>
      <c r="I1110" s="131"/>
      <c r="L1110" s="135"/>
    </row>
    <row r="1111" spans="3:12">
      <c r="C1111" s="136"/>
      <c r="D1111" s="136"/>
      <c r="E1111" s="136"/>
      <c r="F1111" s="131"/>
      <c r="G1111" s="131"/>
      <c r="H1111" s="131"/>
      <c r="I1111" s="131"/>
      <c r="L1111" s="135"/>
    </row>
    <row r="1112" spans="3:12">
      <c r="C1112" s="136"/>
      <c r="D1112" s="136"/>
      <c r="E1112" s="136"/>
      <c r="F1112" s="131"/>
      <c r="G1112" s="131"/>
      <c r="H1112" s="131"/>
      <c r="I1112" s="131"/>
      <c r="L1112" s="135"/>
    </row>
    <row r="1113" spans="3:12">
      <c r="C1113" s="136"/>
      <c r="D1113" s="136"/>
      <c r="E1113" s="136"/>
      <c r="F1113" s="131"/>
      <c r="G1113" s="131"/>
      <c r="H1113" s="131"/>
      <c r="I1113" s="131"/>
      <c r="L1113" s="135"/>
    </row>
    <row r="1114" spans="3:12">
      <c r="C1114" s="136"/>
      <c r="D1114" s="136"/>
      <c r="E1114" s="136"/>
      <c r="F1114" s="131"/>
      <c r="G1114" s="131"/>
      <c r="H1114" s="131"/>
      <c r="I1114" s="131"/>
      <c r="L1114" s="135"/>
    </row>
    <row r="1115" spans="3:12">
      <c r="C1115" s="136"/>
      <c r="D1115" s="136"/>
      <c r="E1115" s="136"/>
      <c r="F1115" s="131"/>
      <c r="G1115" s="131"/>
      <c r="H1115" s="131"/>
      <c r="I1115" s="131"/>
      <c r="L1115" s="135"/>
    </row>
    <row r="1116" spans="3:12">
      <c r="C1116" s="136"/>
      <c r="D1116" s="136"/>
      <c r="E1116" s="136"/>
      <c r="F1116" s="131"/>
      <c r="G1116" s="131"/>
      <c r="H1116" s="131"/>
      <c r="I1116" s="131"/>
      <c r="L1116" s="135"/>
    </row>
    <row r="1117" spans="3:12">
      <c r="C1117" s="136"/>
      <c r="D1117" s="136"/>
      <c r="E1117" s="136"/>
      <c r="F1117" s="131"/>
      <c r="G1117" s="131"/>
      <c r="H1117" s="131"/>
      <c r="I1117" s="131"/>
      <c r="L1117" s="135"/>
    </row>
    <row r="1118" spans="3:12">
      <c r="C1118" s="136"/>
      <c r="D1118" s="136"/>
      <c r="E1118" s="136"/>
      <c r="F1118" s="131"/>
      <c r="G1118" s="131"/>
      <c r="H1118" s="131"/>
      <c r="I1118" s="131"/>
      <c r="L1118" s="135"/>
    </row>
    <row r="1119" spans="3:12">
      <c r="C1119" s="136"/>
      <c r="D1119" s="136"/>
      <c r="E1119" s="136"/>
      <c r="F1119" s="131"/>
      <c r="G1119" s="131"/>
      <c r="H1119" s="131"/>
      <c r="I1119" s="131"/>
      <c r="L1119" s="135"/>
    </row>
    <row r="1120" spans="3:12">
      <c r="C1120" s="136"/>
      <c r="D1120" s="136"/>
      <c r="E1120" s="136"/>
      <c r="F1120" s="131"/>
      <c r="G1120" s="131"/>
      <c r="H1120" s="131"/>
      <c r="I1120" s="131"/>
      <c r="L1120" s="135"/>
    </row>
    <row r="1121" spans="3:12">
      <c r="C1121" s="136"/>
      <c r="D1121" s="136"/>
      <c r="E1121" s="136"/>
      <c r="F1121" s="131"/>
      <c r="G1121" s="131"/>
      <c r="H1121" s="131"/>
      <c r="I1121" s="131"/>
      <c r="L1121" s="135"/>
    </row>
    <row r="1122" spans="3:12">
      <c r="C1122" s="136"/>
      <c r="D1122" s="136"/>
      <c r="E1122" s="136"/>
      <c r="F1122" s="131"/>
      <c r="G1122" s="131"/>
      <c r="H1122" s="131"/>
      <c r="I1122" s="131"/>
      <c r="L1122" s="135"/>
    </row>
    <row r="1123" spans="3:12">
      <c r="C1123" s="136"/>
      <c r="D1123" s="136"/>
      <c r="E1123" s="136"/>
      <c r="F1123" s="131"/>
      <c r="G1123" s="131"/>
      <c r="H1123" s="131"/>
      <c r="I1123" s="131"/>
      <c r="L1123" s="135"/>
    </row>
    <row r="1124" spans="3:12">
      <c r="C1124" s="136"/>
      <c r="D1124" s="136"/>
      <c r="E1124" s="136"/>
      <c r="F1124" s="131"/>
      <c r="G1124" s="131"/>
      <c r="H1124" s="131"/>
      <c r="I1124" s="131"/>
      <c r="L1124" s="135"/>
    </row>
    <row r="1125" spans="3:12">
      <c r="C1125" s="136"/>
      <c r="D1125" s="136"/>
      <c r="E1125" s="136"/>
      <c r="F1125" s="131"/>
      <c r="G1125" s="131"/>
      <c r="H1125" s="131"/>
      <c r="I1125" s="131"/>
      <c r="L1125" s="135"/>
    </row>
    <row r="1126" spans="3:12">
      <c r="C1126" s="136"/>
      <c r="D1126" s="136"/>
      <c r="E1126" s="136"/>
      <c r="F1126" s="131"/>
      <c r="G1126" s="131"/>
      <c r="H1126" s="131"/>
      <c r="I1126" s="131"/>
      <c r="L1126" s="135"/>
    </row>
    <row r="1127" spans="3:12">
      <c r="C1127" s="136"/>
      <c r="D1127" s="136"/>
      <c r="E1127" s="136"/>
      <c r="F1127" s="131"/>
      <c r="G1127" s="131"/>
      <c r="H1127" s="131"/>
      <c r="I1127" s="131"/>
      <c r="L1127" s="135"/>
    </row>
    <row r="1128" spans="3:12">
      <c r="C1128" s="136"/>
      <c r="D1128" s="136"/>
      <c r="E1128" s="136"/>
      <c r="F1128" s="131"/>
      <c r="G1128" s="131"/>
      <c r="H1128" s="131"/>
      <c r="I1128" s="131"/>
      <c r="L1128" s="135"/>
    </row>
    <row r="1129" spans="3:12">
      <c r="C1129" s="136"/>
      <c r="D1129" s="136"/>
      <c r="E1129" s="136"/>
      <c r="F1129" s="131"/>
      <c r="G1129" s="131"/>
      <c r="H1129" s="131"/>
      <c r="I1129" s="131"/>
      <c r="L1129" s="135"/>
    </row>
    <row r="1130" spans="3:12">
      <c r="C1130" s="136"/>
      <c r="D1130" s="136"/>
      <c r="E1130" s="136"/>
      <c r="F1130" s="131"/>
      <c r="G1130" s="131"/>
      <c r="H1130" s="131"/>
      <c r="I1130" s="131"/>
      <c r="L1130" s="135"/>
    </row>
    <row r="1131" spans="3:12">
      <c r="C1131" s="136"/>
      <c r="D1131" s="136"/>
      <c r="E1131" s="136"/>
      <c r="F1131" s="131"/>
      <c r="G1131" s="131"/>
      <c r="H1131" s="131"/>
      <c r="I1131" s="131"/>
      <c r="L1131" s="135"/>
    </row>
    <row r="1132" spans="3:12">
      <c r="C1132" s="136"/>
      <c r="D1132" s="136"/>
      <c r="E1132" s="136"/>
      <c r="F1132" s="131"/>
      <c r="G1132" s="131"/>
      <c r="H1132" s="131"/>
      <c r="I1132" s="131"/>
      <c r="L1132" s="135"/>
    </row>
    <row r="1133" spans="3:12">
      <c r="C1133" s="136"/>
      <c r="D1133" s="136"/>
      <c r="E1133" s="136"/>
      <c r="F1133" s="131"/>
      <c r="G1133" s="131"/>
      <c r="H1133" s="131"/>
      <c r="I1133" s="131"/>
      <c r="L1133" s="135"/>
    </row>
    <row r="1134" spans="3:12">
      <c r="C1134" s="136"/>
      <c r="D1134" s="136"/>
      <c r="E1134" s="136"/>
      <c r="F1134" s="131"/>
      <c r="G1134" s="131"/>
      <c r="H1134" s="131"/>
      <c r="I1134" s="131"/>
      <c r="L1134" s="135"/>
    </row>
    <row r="1135" spans="3:12">
      <c r="C1135" s="136"/>
      <c r="D1135" s="136"/>
      <c r="E1135" s="136"/>
      <c r="F1135" s="131"/>
      <c r="G1135" s="131"/>
      <c r="H1135" s="131"/>
      <c r="I1135" s="131"/>
      <c r="L1135" s="135"/>
    </row>
    <row r="1136" spans="3:12">
      <c r="C1136" s="136"/>
      <c r="D1136" s="136"/>
      <c r="E1136" s="136"/>
      <c r="F1136" s="131"/>
      <c r="G1136" s="131"/>
      <c r="H1136" s="131"/>
      <c r="I1136" s="131"/>
      <c r="L1136" s="135"/>
    </row>
    <row r="1137" spans="3:12">
      <c r="C1137" s="136"/>
      <c r="D1137" s="136"/>
      <c r="E1137" s="136"/>
      <c r="F1137" s="131"/>
      <c r="G1137" s="131"/>
      <c r="H1137" s="131"/>
      <c r="I1137" s="131"/>
      <c r="L1137" s="135"/>
    </row>
    <row r="1138" spans="3:12">
      <c r="C1138" s="136"/>
      <c r="D1138" s="136"/>
      <c r="E1138" s="136"/>
      <c r="F1138" s="131"/>
      <c r="G1138" s="131"/>
      <c r="H1138" s="131"/>
      <c r="I1138" s="131"/>
      <c r="L1138" s="135"/>
    </row>
    <row r="1139" spans="3:12">
      <c r="C1139" s="136"/>
      <c r="D1139" s="136"/>
      <c r="E1139" s="136"/>
      <c r="F1139" s="131"/>
      <c r="G1139" s="131"/>
      <c r="H1139" s="131"/>
      <c r="I1139" s="131"/>
      <c r="L1139" s="135"/>
    </row>
    <row r="1140" spans="3:12">
      <c r="C1140" s="136"/>
      <c r="D1140" s="136"/>
      <c r="E1140" s="136"/>
      <c r="F1140" s="131"/>
      <c r="G1140" s="131"/>
      <c r="H1140" s="131"/>
      <c r="I1140" s="131"/>
      <c r="L1140" s="135"/>
    </row>
    <row r="1141" spans="3:12">
      <c r="C1141" s="136"/>
      <c r="D1141" s="136"/>
      <c r="E1141" s="136"/>
      <c r="F1141" s="131"/>
      <c r="G1141" s="131"/>
      <c r="H1141" s="131"/>
      <c r="I1141" s="131"/>
      <c r="L1141" s="135"/>
    </row>
    <row r="1142" spans="3:12">
      <c r="C1142" s="136"/>
      <c r="D1142" s="136"/>
      <c r="E1142" s="136"/>
      <c r="F1142" s="131"/>
      <c r="G1142" s="131"/>
      <c r="H1142" s="131"/>
      <c r="I1142" s="131"/>
      <c r="L1142" s="135"/>
    </row>
    <row r="1143" spans="3:12">
      <c r="C1143" s="136"/>
      <c r="D1143" s="136"/>
      <c r="E1143" s="136"/>
      <c r="F1143" s="131"/>
      <c r="G1143" s="131"/>
      <c r="H1143" s="131"/>
      <c r="I1143" s="131"/>
      <c r="L1143" s="135"/>
    </row>
    <row r="1144" spans="3:12">
      <c r="C1144" s="136"/>
      <c r="D1144" s="136"/>
      <c r="E1144" s="136"/>
      <c r="F1144" s="131"/>
      <c r="G1144" s="131"/>
      <c r="H1144" s="131"/>
      <c r="I1144" s="131"/>
      <c r="L1144" s="135"/>
    </row>
    <row r="1145" spans="3:12">
      <c r="C1145" s="136"/>
      <c r="D1145" s="136"/>
      <c r="E1145" s="136"/>
      <c r="F1145" s="131"/>
      <c r="G1145" s="131"/>
      <c r="H1145" s="131"/>
      <c r="I1145" s="131"/>
      <c r="L1145" s="135"/>
    </row>
    <row r="1146" spans="3:12">
      <c r="C1146" s="136"/>
      <c r="D1146" s="136"/>
      <c r="E1146" s="136"/>
      <c r="F1146" s="131"/>
      <c r="G1146" s="131"/>
      <c r="H1146" s="131"/>
      <c r="I1146" s="131"/>
      <c r="L1146" s="135"/>
    </row>
    <row r="1147" spans="3:12">
      <c r="C1147" s="136"/>
      <c r="D1147" s="136"/>
      <c r="E1147" s="136"/>
      <c r="F1147" s="131"/>
      <c r="G1147" s="131"/>
      <c r="H1147" s="131"/>
      <c r="I1147" s="131"/>
      <c r="L1147" s="135"/>
    </row>
    <row r="1148" spans="3:12">
      <c r="C1148" s="136"/>
      <c r="D1148" s="136"/>
      <c r="E1148" s="136"/>
      <c r="F1148" s="131"/>
      <c r="G1148" s="131"/>
      <c r="H1148" s="131"/>
      <c r="I1148" s="131"/>
      <c r="L1148" s="135"/>
    </row>
    <row r="1149" spans="3:12">
      <c r="C1149" s="136"/>
      <c r="D1149" s="136"/>
      <c r="E1149" s="136"/>
      <c r="F1149" s="131"/>
      <c r="G1149" s="131"/>
      <c r="H1149" s="131"/>
      <c r="I1149" s="131"/>
      <c r="L1149" s="135"/>
    </row>
    <row r="1150" spans="3:12">
      <c r="C1150" s="136"/>
      <c r="D1150" s="136"/>
      <c r="E1150" s="136"/>
      <c r="F1150" s="131"/>
      <c r="G1150" s="131"/>
      <c r="H1150" s="131"/>
      <c r="I1150" s="131"/>
      <c r="L1150" s="135"/>
    </row>
    <row r="1151" spans="3:12">
      <c r="C1151" s="136"/>
      <c r="D1151" s="136"/>
      <c r="E1151" s="136"/>
      <c r="F1151" s="131"/>
      <c r="G1151" s="131"/>
      <c r="H1151" s="131"/>
      <c r="I1151" s="131"/>
      <c r="L1151" s="135"/>
    </row>
    <row r="1152" spans="3:12">
      <c r="C1152" s="136"/>
      <c r="D1152" s="136"/>
      <c r="E1152" s="136"/>
      <c r="F1152" s="131"/>
      <c r="G1152" s="131"/>
      <c r="H1152" s="131"/>
      <c r="I1152" s="131"/>
      <c r="L1152" s="135"/>
    </row>
    <row r="1153" spans="3:12">
      <c r="C1153" s="136"/>
      <c r="D1153" s="136"/>
      <c r="E1153" s="136"/>
      <c r="F1153" s="131"/>
      <c r="G1153" s="131"/>
      <c r="H1153" s="131"/>
      <c r="I1153" s="131"/>
      <c r="L1153" s="135"/>
    </row>
    <row r="1154" spans="3:12">
      <c r="C1154" s="136"/>
      <c r="D1154" s="136"/>
      <c r="E1154" s="136"/>
      <c r="F1154" s="131"/>
      <c r="G1154" s="131"/>
      <c r="H1154" s="131"/>
      <c r="I1154" s="131"/>
      <c r="L1154" s="135"/>
    </row>
    <row r="1155" spans="3:12">
      <c r="C1155" s="136"/>
      <c r="D1155" s="136"/>
      <c r="E1155" s="136"/>
      <c r="F1155" s="131"/>
      <c r="G1155" s="131"/>
      <c r="H1155" s="131"/>
      <c r="I1155" s="131"/>
      <c r="L1155" s="135"/>
    </row>
    <row r="1156" spans="3:12">
      <c r="C1156" s="136"/>
      <c r="D1156" s="136"/>
      <c r="E1156" s="136"/>
      <c r="F1156" s="131"/>
      <c r="G1156" s="131"/>
      <c r="H1156" s="131"/>
      <c r="I1156" s="131"/>
      <c r="L1156" s="135"/>
    </row>
    <row r="1157" spans="3:12">
      <c r="C1157" s="136"/>
      <c r="D1157" s="136"/>
      <c r="E1157" s="136"/>
      <c r="F1157" s="131"/>
      <c r="G1157" s="131"/>
      <c r="H1157" s="131"/>
      <c r="I1157" s="131"/>
      <c r="L1157" s="135"/>
    </row>
    <row r="1158" spans="3:12">
      <c r="C1158" s="136"/>
      <c r="D1158" s="136"/>
      <c r="E1158" s="136"/>
      <c r="F1158" s="131"/>
      <c r="G1158" s="131"/>
      <c r="H1158" s="131"/>
      <c r="I1158" s="131"/>
      <c r="L1158" s="135"/>
    </row>
    <row r="1159" spans="3:12">
      <c r="C1159" s="136"/>
      <c r="D1159" s="136"/>
      <c r="E1159" s="136"/>
      <c r="F1159" s="131"/>
      <c r="G1159" s="131"/>
      <c r="H1159" s="131"/>
      <c r="I1159" s="131"/>
      <c r="L1159" s="135"/>
    </row>
    <row r="1160" spans="3:12">
      <c r="C1160" s="136"/>
      <c r="D1160" s="136"/>
      <c r="E1160" s="136"/>
      <c r="F1160" s="131"/>
      <c r="G1160" s="131"/>
      <c r="H1160" s="131"/>
      <c r="I1160" s="131"/>
      <c r="L1160" s="135"/>
    </row>
    <row r="1161" spans="3:12">
      <c r="C1161" s="136"/>
      <c r="D1161" s="136"/>
      <c r="E1161" s="136"/>
      <c r="F1161" s="131"/>
      <c r="G1161" s="131"/>
      <c r="H1161" s="131"/>
      <c r="I1161" s="131"/>
      <c r="L1161" s="135"/>
    </row>
    <row r="1162" spans="3:12">
      <c r="C1162" s="136"/>
      <c r="D1162" s="136"/>
      <c r="E1162" s="136"/>
      <c r="F1162" s="131"/>
      <c r="G1162" s="131"/>
      <c r="H1162" s="131"/>
      <c r="I1162" s="131"/>
      <c r="L1162" s="135"/>
    </row>
    <row r="1163" spans="3:12">
      <c r="C1163" s="136"/>
      <c r="D1163" s="136"/>
      <c r="E1163" s="136"/>
      <c r="F1163" s="131"/>
      <c r="G1163" s="131"/>
      <c r="H1163" s="131"/>
      <c r="I1163" s="131"/>
      <c r="L1163" s="135"/>
    </row>
    <row r="1164" spans="3:12">
      <c r="C1164" s="136"/>
      <c r="D1164" s="136"/>
      <c r="E1164" s="136"/>
      <c r="F1164" s="131"/>
      <c r="G1164" s="131"/>
      <c r="H1164" s="131"/>
      <c r="I1164" s="131"/>
      <c r="L1164" s="135"/>
    </row>
    <row r="1165" spans="3:12">
      <c r="C1165" s="136"/>
      <c r="D1165" s="136"/>
      <c r="E1165" s="136"/>
      <c r="F1165" s="131"/>
      <c r="G1165" s="131"/>
      <c r="H1165" s="131"/>
      <c r="I1165" s="131"/>
      <c r="L1165" s="135"/>
    </row>
    <row r="1166" spans="3:12">
      <c r="C1166" s="136"/>
      <c r="D1166" s="136"/>
      <c r="E1166" s="136"/>
      <c r="F1166" s="131"/>
      <c r="G1166" s="131"/>
      <c r="H1166" s="131"/>
      <c r="I1166" s="131"/>
      <c r="L1166" s="135"/>
    </row>
    <row r="1167" spans="3:12">
      <c r="C1167" s="136"/>
      <c r="D1167" s="136"/>
      <c r="E1167" s="136"/>
      <c r="F1167" s="131"/>
      <c r="G1167" s="131"/>
      <c r="H1167" s="131"/>
      <c r="I1167" s="131"/>
      <c r="L1167" s="135"/>
    </row>
    <row r="1168" spans="3:12">
      <c r="C1168" s="136"/>
      <c r="D1168" s="136"/>
      <c r="E1168" s="136"/>
      <c r="F1168" s="131"/>
      <c r="G1168" s="131"/>
      <c r="H1168" s="131"/>
      <c r="I1168" s="131"/>
      <c r="L1168" s="135"/>
    </row>
    <row r="1169" spans="3:12">
      <c r="C1169" s="136"/>
      <c r="D1169" s="136"/>
      <c r="E1169" s="136"/>
      <c r="F1169" s="131"/>
      <c r="G1169" s="131"/>
      <c r="H1169" s="131"/>
      <c r="I1169" s="131"/>
      <c r="L1169" s="135"/>
    </row>
    <row r="1170" spans="3:12">
      <c r="C1170" s="136"/>
      <c r="D1170" s="136"/>
      <c r="E1170" s="136"/>
      <c r="F1170" s="131"/>
      <c r="G1170" s="131"/>
      <c r="H1170" s="131"/>
      <c r="I1170" s="131"/>
      <c r="L1170" s="135"/>
    </row>
    <row r="1171" spans="3:12">
      <c r="C1171" s="136"/>
      <c r="D1171" s="136"/>
      <c r="E1171" s="136"/>
      <c r="F1171" s="131"/>
      <c r="G1171" s="131"/>
      <c r="H1171" s="131"/>
      <c r="I1171" s="131"/>
      <c r="L1171" s="135"/>
    </row>
    <row r="1172" spans="3:12">
      <c r="C1172" s="136"/>
      <c r="D1172" s="136"/>
      <c r="E1172" s="136"/>
      <c r="F1172" s="131"/>
      <c r="G1172" s="131"/>
      <c r="H1172" s="131"/>
      <c r="I1172" s="131"/>
      <c r="L1172" s="135"/>
    </row>
    <row r="1173" spans="3:12">
      <c r="C1173" s="136"/>
      <c r="D1173" s="136"/>
      <c r="E1173" s="136"/>
      <c r="F1173" s="131"/>
      <c r="G1173" s="131"/>
      <c r="H1173" s="131"/>
      <c r="I1173" s="131"/>
      <c r="L1173" s="135"/>
    </row>
    <row r="1174" spans="3:12">
      <c r="C1174" s="136"/>
      <c r="D1174" s="136"/>
      <c r="E1174" s="136"/>
      <c r="F1174" s="131"/>
      <c r="G1174" s="131"/>
      <c r="H1174" s="131"/>
      <c r="I1174" s="131"/>
      <c r="L1174" s="135"/>
    </row>
    <row r="1175" spans="3:12">
      <c r="C1175" s="136"/>
      <c r="D1175" s="136"/>
      <c r="E1175" s="136"/>
      <c r="F1175" s="131"/>
      <c r="G1175" s="131"/>
      <c r="H1175" s="131"/>
      <c r="I1175" s="131"/>
      <c r="L1175" s="135"/>
    </row>
    <row r="1176" spans="3:12">
      <c r="C1176" s="136"/>
      <c r="D1176" s="136"/>
      <c r="E1176" s="136"/>
      <c r="F1176" s="131"/>
      <c r="G1176" s="131"/>
      <c r="H1176" s="131"/>
      <c r="I1176" s="131"/>
      <c r="L1176" s="135"/>
    </row>
    <row r="1177" spans="3:12">
      <c r="C1177" s="136"/>
      <c r="D1177" s="136"/>
      <c r="E1177" s="136"/>
      <c r="F1177" s="131"/>
      <c r="G1177" s="131"/>
      <c r="H1177" s="131"/>
      <c r="I1177" s="131"/>
      <c r="L1177" s="135"/>
    </row>
    <row r="1178" spans="3:12">
      <c r="C1178" s="136"/>
      <c r="D1178" s="136"/>
      <c r="E1178" s="136"/>
      <c r="F1178" s="131"/>
      <c r="G1178" s="131"/>
      <c r="H1178" s="131"/>
      <c r="I1178" s="131"/>
      <c r="L1178" s="135"/>
    </row>
    <row r="1179" spans="3:12">
      <c r="C1179" s="136"/>
      <c r="D1179" s="136"/>
      <c r="E1179" s="136"/>
      <c r="F1179" s="131"/>
      <c r="G1179" s="131"/>
      <c r="H1179" s="131"/>
      <c r="I1179" s="131"/>
      <c r="L1179" s="135"/>
    </row>
    <row r="1180" spans="3:12">
      <c r="C1180" s="136"/>
      <c r="D1180" s="136"/>
      <c r="E1180" s="136"/>
      <c r="F1180" s="131"/>
      <c r="G1180" s="131"/>
      <c r="H1180" s="131"/>
      <c r="I1180" s="131"/>
      <c r="L1180" s="135"/>
    </row>
    <row r="1181" spans="3:12">
      <c r="C1181" s="136"/>
      <c r="D1181" s="136"/>
      <c r="E1181" s="136"/>
      <c r="F1181" s="131"/>
      <c r="G1181" s="131"/>
      <c r="H1181" s="131"/>
      <c r="I1181" s="131"/>
      <c r="L1181" s="135"/>
    </row>
    <row r="1182" spans="3:12">
      <c r="C1182" s="136"/>
      <c r="D1182" s="136"/>
      <c r="E1182" s="136"/>
      <c r="F1182" s="131"/>
      <c r="G1182" s="131"/>
      <c r="H1182" s="131"/>
      <c r="I1182" s="131"/>
      <c r="L1182" s="135"/>
    </row>
    <row r="1183" spans="3:12">
      <c r="C1183" s="136"/>
      <c r="D1183" s="136"/>
      <c r="E1183" s="136"/>
      <c r="F1183" s="131"/>
      <c r="G1183" s="131"/>
      <c r="H1183" s="131"/>
      <c r="I1183" s="131"/>
      <c r="L1183" s="135"/>
    </row>
    <row r="1184" spans="3:12">
      <c r="C1184" s="136"/>
      <c r="D1184" s="136"/>
      <c r="E1184" s="136"/>
      <c r="F1184" s="131"/>
      <c r="G1184" s="131"/>
      <c r="H1184" s="131"/>
      <c r="I1184" s="131"/>
      <c r="L1184" s="135"/>
    </row>
    <row r="1185" spans="3:12">
      <c r="C1185" s="136"/>
      <c r="D1185" s="136"/>
      <c r="E1185" s="136"/>
      <c r="F1185" s="131"/>
      <c r="G1185" s="131"/>
      <c r="H1185" s="131"/>
      <c r="I1185" s="131"/>
      <c r="L1185" s="135"/>
    </row>
    <row r="1186" spans="3:12">
      <c r="C1186" s="136"/>
      <c r="D1186" s="136"/>
      <c r="E1186" s="136"/>
      <c r="F1186" s="131"/>
      <c r="G1186" s="131"/>
      <c r="H1186" s="131"/>
      <c r="I1186" s="131"/>
      <c r="L1186" s="135"/>
    </row>
    <row r="1187" spans="3:12">
      <c r="C1187" s="136"/>
      <c r="D1187" s="136"/>
      <c r="E1187" s="136"/>
      <c r="F1187" s="131"/>
      <c r="G1187" s="131"/>
      <c r="H1187" s="131"/>
      <c r="I1187" s="131"/>
      <c r="L1187" s="135"/>
    </row>
    <row r="1188" spans="3:12">
      <c r="C1188" s="136"/>
      <c r="D1188" s="136"/>
      <c r="E1188" s="136"/>
      <c r="F1188" s="131"/>
      <c r="G1188" s="131"/>
      <c r="H1188" s="131"/>
      <c r="I1188" s="131"/>
      <c r="L1188" s="135"/>
    </row>
    <row r="1189" spans="3:12">
      <c r="C1189" s="136"/>
      <c r="D1189" s="136"/>
      <c r="E1189" s="136"/>
      <c r="F1189" s="131"/>
      <c r="G1189" s="131"/>
      <c r="H1189" s="131"/>
      <c r="I1189" s="131"/>
      <c r="L1189" s="135"/>
    </row>
    <row r="1190" spans="3:12">
      <c r="C1190" s="136"/>
      <c r="D1190" s="136"/>
      <c r="E1190" s="136"/>
      <c r="F1190" s="131"/>
      <c r="G1190" s="131"/>
      <c r="H1190" s="131"/>
      <c r="I1190" s="131"/>
      <c r="L1190" s="135"/>
    </row>
    <row r="1191" spans="3:12">
      <c r="C1191" s="136"/>
      <c r="D1191" s="136"/>
      <c r="E1191" s="136"/>
      <c r="F1191" s="131"/>
      <c r="G1191" s="131"/>
      <c r="H1191" s="131"/>
      <c r="I1191" s="131"/>
      <c r="L1191" s="135"/>
    </row>
    <row r="1192" spans="3:12">
      <c r="C1192" s="136"/>
      <c r="D1192" s="136"/>
      <c r="E1192" s="136"/>
      <c r="F1192" s="131"/>
      <c r="G1192" s="131"/>
      <c r="H1192" s="131"/>
      <c r="I1192" s="131"/>
      <c r="L1192" s="135"/>
    </row>
    <row r="1193" spans="3:12">
      <c r="C1193" s="136"/>
      <c r="D1193" s="136"/>
      <c r="E1193" s="136"/>
      <c r="F1193" s="131"/>
      <c r="G1193" s="131"/>
      <c r="H1193" s="131"/>
      <c r="I1193" s="131"/>
      <c r="L1193" s="135"/>
    </row>
    <row r="1194" spans="3:12">
      <c r="C1194" s="136"/>
      <c r="D1194" s="136"/>
      <c r="E1194" s="136"/>
      <c r="F1194" s="131"/>
      <c r="G1194" s="131"/>
      <c r="H1194" s="131"/>
      <c r="I1194" s="131"/>
      <c r="L1194" s="135"/>
    </row>
    <row r="1195" spans="3:12">
      <c r="C1195" s="136"/>
      <c r="D1195" s="136"/>
      <c r="E1195" s="136"/>
      <c r="F1195" s="131"/>
      <c r="G1195" s="131"/>
      <c r="H1195" s="131"/>
      <c r="I1195" s="131"/>
      <c r="L1195" s="135"/>
    </row>
    <row r="1196" spans="3:12">
      <c r="C1196" s="136"/>
      <c r="D1196" s="136"/>
      <c r="E1196" s="136"/>
      <c r="F1196" s="131"/>
      <c r="G1196" s="131"/>
      <c r="H1196" s="131"/>
      <c r="I1196" s="131"/>
      <c r="L1196" s="135"/>
    </row>
    <row r="1197" spans="3:12">
      <c r="C1197" s="136"/>
      <c r="D1197" s="136"/>
      <c r="E1197" s="136"/>
      <c r="F1197" s="131"/>
      <c r="G1197" s="131"/>
      <c r="H1197" s="131"/>
      <c r="I1197" s="131"/>
      <c r="L1197" s="135"/>
    </row>
    <row r="1198" spans="3:12">
      <c r="C1198" s="136"/>
      <c r="D1198" s="136"/>
      <c r="E1198" s="136"/>
      <c r="F1198" s="131"/>
      <c r="G1198" s="131"/>
      <c r="H1198" s="131"/>
      <c r="I1198" s="131"/>
      <c r="L1198" s="135"/>
    </row>
    <row r="1199" spans="3:12">
      <c r="C1199" s="136"/>
      <c r="D1199" s="136"/>
      <c r="E1199" s="136"/>
      <c r="F1199" s="131"/>
      <c r="G1199" s="131"/>
      <c r="H1199" s="131"/>
      <c r="I1199" s="131"/>
      <c r="L1199" s="135"/>
    </row>
    <row r="1200" spans="3:12">
      <c r="C1200" s="136"/>
      <c r="D1200" s="136"/>
      <c r="E1200" s="136"/>
      <c r="F1200" s="131"/>
      <c r="G1200" s="131"/>
      <c r="H1200" s="131"/>
      <c r="I1200" s="131"/>
      <c r="L1200" s="135"/>
    </row>
    <row r="1201" spans="3:12">
      <c r="C1201" s="136"/>
      <c r="D1201" s="136"/>
      <c r="E1201" s="136"/>
      <c r="F1201" s="131"/>
      <c r="G1201" s="131"/>
      <c r="H1201" s="131"/>
      <c r="I1201" s="131"/>
      <c r="L1201" s="135"/>
    </row>
    <row r="1202" spans="3:12">
      <c r="C1202" s="136"/>
      <c r="D1202" s="136"/>
      <c r="E1202" s="136"/>
      <c r="F1202" s="131"/>
      <c r="G1202" s="131"/>
      <c r="H1202" s="131"/>
      <c r="I1202" s="131"/>
      <c r="L1202" s="135"/>
    </row>
    <row r="1203" spans="3:12">
      <c r="C1203" s="136"/>
      <c r="D1203" s="136"/>
      <c r="E1203" s="136"/>
      <c r="F1203" s="131"/>
      <c r="G1203" s="131"/>
      <c r="H1203" s="131"/>
      <c r="I1203" s="131"/>
      <c r="L1203" s="135"/>
    </row>
    <row r="1204" spans="3:12">
      <c r="C1204" s="136"/>
      <c r="D1204" s="136"/>
      <c r="E1204" s="136"/>
      <c r="F1204" s="131"/>
      <c r="G1204" s="131"/>
      <c r="H1204" s="131"/>
      <c r="I1204" s="131"/>
      <c r="L1204" s="135"/>
    </row>
    <row r="1205" spans="3:12">
      <c r="C1205" s="136"/>
      <c r="D1205" s="136"/>
      <c r="E1205" s="136"/>
      <c r="F1205" s="131"/>
      <c r="G1205" s="131"/>
      <c r="H1205" s="131"/>
      <c r="I1205" s="131"/>
      <c r="L1205" s="135"/>
    </row>
    <row r="1206" spans="3:12">
      <c r="C1206" s="136"/>
      <c r="D1206" s="136"/>
      <c r="E1206" s="136"/>
      <c r="F1206" s="131"/>
      <c r="G1206" s="131"/>
      <c r="H1206" s="131"/>
      <c r="I1206" s="131"/>
      <c r="L1206" s="135"/>
    </row>
    <row r="1207" spans="3:12">
      <c r="C1207" s="136"/>
      <c r="D1207" s="136"/>
      <c r="E1207" s="136"/>
      <c r="F1207" s="131"/>
      <c r="G1207" s="131"/>
      <c r="H1207" s="131"/>
      <c r="I1207" s="131"/>
      <c r="L1207" s="135"/>
    </row>
    <row r="1208" spans="3:12">
      <c r="C1208" s="136"/>
      <c r="D1208" s="136"/>
      <c r="E1208" s="136"/>
      <c r="F1208" s="131"/>
      <c r="G1208" s="131"/>
      <c r="H1208" s="131"/>
      <c r="I1208" s="131"/>
      <c r="L1208" s="135"/>
    </row>
    <row r="1209" spans="3:12">
      <c r="C1209" s="136"/>
      <c r="D1209" s="136"/>
      <c r="E1209" s="136"/>
      <c r="F1209" s="131"/>
      <c r="G1209" s="131"/>
      <c r="H1209" s="131"/>
      <c r="I1209" s="131"/>
      <c r="L1209" s="135"/>
    </row>
    <row r="1210" spans="3:12">
      <c r="C1210" s="136"/>
      <c r="D1210" s="136"/>
      <c r="E1210" s="136"/>
      <c r="F1210" s="131"/>
      <c r="G1210" s="131"/>
      <c r="H1210" s="131"/>
      <c r="I1210" s="131"/>
      <c r="L1210" s="135"/>
    </row>
    <row r="1211" spans="3:12">
      <c r="C1211" s="136"/>
      <c r="D1211" s="136"/>
      <c r="E1211" s="136"/>
      <c r="F1211" s="131"/>
      <c r="G1211" s="131"/>
      <c r="H1211" s="131"/>
      <c r="I1211" s="131"/>
      <c r="L1211" s="135"/>
    </row>
    <row r="1212" spans="3:12">
      <c r="C1212" s="136"/>
      <c r="D1212" s="136"/>
      <c r="E1212" s="136"/>
      <c r="F1212" s="131"/>
      <c r="G1212" s="131"/>
      <c r="H1212" s="131"/>
      <c r="I1212" s="131"/>
      <c r="L1212" s="135"/>
    </row>
    <row r="1213" spans="3:12">
      <c r="C1213" s="136"/>
      <c r="D1213" s="136"/>
      <c r="E1213" s="136"/>
      <c r="F1213" s="131"/>
      <c r="G1213" s="131"/>
      <c r="H1213" s="131"/>
      <c r="I1213" s="131"/>
      <c r="L1213" s="135"/>
    </row>
    <row r="1214" spans="3:12">
      <c r="C1214" s="136"/>
      <c r="D1214" s="136"/>
      <c r="E1214" s="136"/>
      <c r="F1214" s="131"/>
      <c r="G1214" s="131"/>
      <c r="H1214" s="131"/>
      <c r="I1214" s="131"/>
      <c r="L1214" s="135"/>
    </row>
    <row r="1215" spans="3:12">
      <c r="C1215" s="136"/>
      <c r="D1215" s="136"/>
      <c r="E1215" s="136"/>
      <c r="F1215" s="131"/>
      <c r="G1215" s="131"/>
      <c r="H1215" s="131"/>
      <c r="I1215" s="131"/>
      <c r="L1215" s="135"/>
    </row>
    <row r="1216" spans="3:12">
      <c r="C1216" s="136"/>
      <c r="D1216" s="136"/>
      <c r="E1216" s="136"/>
      <c r="F1216" s="131"/>
      <c r="G1216" s="131"/>
      <c r="H1216" s="131"/>
      <c r="I1216" s="131"/>
      <c r="L1216" s="135"/>
    </row>
    <row r="1217" spans="3:12">
      <c r="C1217" s="136"/>
      <c r="D1217" s="136"/>
      <c r="E1217" s="136"/>
      <c r="F1217" s="131"/>
      <c r="G1217" s="131"/>
      <c r="H1217" s="131"/>
      <c r="I1217" s="131"/>
      <c r="L1217" s="135"/>
    </row>
    <row r="1218" spans="3:12">
      <c r="C1218" s="136"/>
      <c r="D1218" s="136"/>
      <c r="E1218" s="136"/>
      <c r="F1218" s="131"/>
      <c r="G1218" s="131"/>
      <c r="H1218" s="131"/>
      <c r="I1218" s="131"/>
      <c r="L1218" s="135"/>
    </row>
    <row r="1219" spans="3:12">
      <c r="C1219" s="136"/>
      <c r="D1219" s="136"/>
      <c r="E1219" s="136"/>
      <c r="F1219" s="131"/>
      <c r="G1219" s="131"/>
      <c r="H1219" s="131"/>
      <c r="I1219" s="131"/>
      <c r="L1219" s="135"/>
    </row>
    <row r="1220" spans="3:12">
      <c r="C1220" s="136"/>
      <c r="D1220" s="136"/>
      <c r="E1220" s="136"/>
      <c r="F1220" s="131"/>
      <c r="G1220" s="131"/>
      <c r="H1220" s="131"/>
      <c r="I1220" s="131"/>
      <c r="L1220" s="135"/>
    </row>
    <row r="1221" spans="3:12">
      <c r="C1221" s="136"/>
      <c r="D1221" s="136"/>
      <c r="E1221" s="136"/>
      <c r="F1221" s="131"/>
      <c r="G1221" s="131"/>
      <c r="H1221" s="131"/>
      <c r="I1221" s="131"/>
      <c r="L1221" s="135"/>
    </row>
    <row r="1222" spans="3:12">
      <c r="C1222" s="136"/>
      <c r="D1222" s="136"/>
      <c r="E1222" s="136"/>
      <c r="F1222" s="131"/>
      <c r="G1222" s="131"/>
      <c r="H1222" s="131"/>
      <c r="I1222" s="131"/>
      <c r="L1222" s="135"/>
    </row>
    <row r="1223" spans="3:12">
      <c r="C1223" s="136"/>
      <c r="D1223" s="136"/>
      <c r="E1223" s="136"/>
      <c r="F1223" s="131"/>
      <c r="G1223" s="131"/>
      <c r="H1223" s="131"/>
      <c r="I1223" s="131"/>
      <c r="L1223" s="135"/>
    </row>
    <row r="1224" spans="3:12">
      <c r="C1224" s="136"/>
      <c r="D1224" s="136"/>
      <c r="E1224" s="136"/>
      <c r="F1224" s="131"/>
      <c r="G1224" s="131"/>
      <c r="H1224" s="131"/>
      <c r="I1224" s="131"/>
      <c r="L1224" s="135"/>
    </row>
    <row r="1225" spans="3:12">
      <c r="C1225" s="136"/>
      <c r="D1225" s="136"/>
      <c r="E1225" s="136"/>
      <c r="F1225" s="131"/>
      <c r="G1225" s="131"/>
      <c r="H1225" s="131"/>
      <c r="I1225" s="131"/>
      <c r="L1225" s="135"/>
    </row>
    <row r="1226" spans="3:12">
      <c r="C1226" s="136"/>
      <c r="D1226" s="136"/>
      <c r="E1226" s="136"/>
      <c r="F1226" s="131"/>
      <c r="G1226" s="131"/>
      <c r="H1226" s="131"/>
      <c r="I1226" s="131"/>
      <c r="L1226" s="135"/>
    </row>
    <row r="1227" spans="3:12">
      <c r="C1227" s="136"/>
      <c r="D1227" s="136"/>
      <c r="E1227" s="136"/>
      <c r="F1227" s="131"/>
      <c r="G1227" s="131"/>
      <c r="H1227" s="131"/>
      <c r="I1227" s="131"/>
      <c r="L1227" s="135"/>
    </row>
    <row r="1228" spans="3:12">
      <c r="C1228" s="136"/>
      <c r="D1228" s="136"/>
      <c r="E1228" s="136"/>
      <c r="F1228" s="131"/>
      <c r="G1228" s="131"/>
      <c r="H1228" s="131"/>
      <c r="I1228" s="131"/>
      <c r="L1228" s="135"/>
    </row>
    <row r="1229" spans="3:12">
      <c r="C1229" s="136"/>
      <c r="D1229" s="136"/>
      <c r="E1229" s="136"/>
      <c r="F1229" s="131"/>
      <c r="G1229" s="131"/>
      <c r="H1229" s="131"/>
      <c r="I1229" s="131"/>
      <c r="L1229" s="135"/>
    </row>
    <row r="1230" spans="3:12">
      <c r="C1230" s="136"/>
      <c r="D1230" s="136"/>
      <c r="E1230" s="136"/>
      <c r="F1230" s="131"/>
      <c r="G1230" s="131"/>
      <c r="H1230" s="131"/>
      <c r="I1230" s="131"/>
      <c r="L1230" s="135"/>
    </row>
    <row r="1231" spans="3:12">
      <c r="C1231" s="136"/>
      <c r="D1231" s="136"/>
      <c r="E1231" s="136"/>
      <c r="F1231" s="131"/>
      <c r="G1231" s="131"/>
      <c r="H1231" s="131"/>
      <c r="I1231" s="131"/>
      <c r="L1231" s="135"/>
    </row>
    <row r="1232" spans="3:12">
      <c r="C1232" s="136"/>
      <c r="D1232" s="136"/>
      <c r="E1232" s="136"/>
      <c r="F1232" s="131"/>
      <c r="G1232" s="131"/>
      <c r="H1232" s="131"/>
      <c r="I1232" s="131"/>
      <c r="L1232" s="135"/>
    </row>
    <row r="1233" spans="3:12">
      <c r="C1233" s="136"/>
      <c r="D1233" s="136"/>
      <c r="E1233" s="136"/>
      <c r="F1233" s="131"/>
      <c r="G1233" s="131"/>
      <c r="H1233" s="131"/>
      <c r="I1233" s="131"/>
      <c r="L1233" s="135"/>
    </row>
    <row r="1234" spans="3:12">
      <c r="C1234" s="136"/>
      <c r="D1234" s="136"/>
      <c r="E1234" s="136"/>
      <c r="F1234" s="131"/>
      <c r="G1234" s="131"/>
      <c r="H1234" s="131"/>
      <c r="I1234" s="131"/>
      <c r="L1234" s="135"/>
    </row>
    <row r="1235" spans="3:12">
      <c r="C1235" s="136"/>
      <c r="D1235" s="136"/>
      <c r="E1235" s="136"/>
      <c r="F1235" s="131"/>
      <c r="G1235" s="131"/>
      <c r="H1235" s="131"/>
      <c r="I1235" s="131"/>
      <c r="L1235" s="135"/>
    </row>
    <row r="1236" spans="3:12">
      <c r="C1236" s="136"/>
      <c r="D1236" s="136"/>
      <c r="E1236" s="136"/>
      <c r="F1236" s="131"/>
      <c r="G1236" s="131"/>
      <c r="H1236" s="131"/>
      <c r="I1236" s="131"/>
      <c r="L1236" s="135"/>
    </row>
    <row r="1237" spans="3:12">
      <c r="C1237" s="136"/>
      <c r="D1237" s="136"/>
      <c r="E1237" s="136"/>
      <c r="F1237" s="131"/>
      <c r="G1237" s="131"/>
      <c r="H1237" s="131"/>
      <c r="I1237" s="131"/>
      <c r="L1237" s="135"/>
    </row>
    <row r="1238" spans="3:12">
      <c r="C1238" s="136"/>
      <c r="D1238" s="136"/>
      <c r="E1238" s="136"/>
      <c r="F1238" s="131"/>
      <c r="G1238" s="131"/>
      <c r="H1238" s="131"/>
      <c r="I1238" s="131"/>
      <c r="L1238" s="135"/>
    </row>
    <row r="1239" spans="3:12">
      <c r="C1239" s="136"/>
      <c r="D1239" s="136"/>
      <c r="E1239" s="136"/>
      <c r="F1239" s="131"/>
      <c r="G1239" s="131"/>
      <c r="H1239" s="131"/>
      <c r="I1239" s="131"/>
      <c r="L1239" s="135"/>
    </row>
    <row r="1240" spans="3:12">
      <c r="C1240" s="136"/>
      <c r="D1240" s="136"/>
      <c r="E1240" s="136"/>
      <c r="F1240" s="131"/>
      <c r="G1240" s="131"/>
      <c r="H1240" s="131"/>
      <c r="I1240" s="131"/>
      <c r="L1240" s="135"/>
    </row>
    <row r="1241" spans="3:12">
      <c r="C1241" s="136"/>
      <c r="D1241" s="136"/>
      <c r="E1241" s="136"/>
      <c r="F1241" s="131"/>
      <c r="G1241" s="131"/>
      <c r="H1241" s="131"/>
      <c r="I1241" s="131"/>
      <c r="L1241" s="135"/>
    </row>
    <row r="1242" spans="3:12">
      <c r="C1242" s="136"/>
      <c r="D1242" s="136"/>
      <c r="E1242" s="136"/>
      <c r="F1242" s="131"/>
      <c r="G1242" s="131"/>
      <c r="H1242" s="131"/>
      <c r="I1242" s="131"/>
      <c r="L1242" s="135"/>
    </row>
    <row r="1243" spans="3:12">
      <c r="C1243" s="136"/>
      <c r="D1243" s="136"/>
      <c r="E1243" s="136"/>
      <c r="F1243" s="131"/>
      <c r="G1243" s="131"/>
      <c r="H1243" s="131"/>
      <c r="I1243" s="131"/>
      <c r="L1243" s="135"/>
    </row>
    <row r="1244" spans="3:12">
      <c r="C1244" s="136"/>
      <c r="D1244" s="136"/>
      <c r="E1244" s="136"/>
      <c r="F1244" s="131"/>
      <c r="G1244" s="131"/>
      <c r="H1244" s="131"/>
      <c r="I1244" s="131"/>
      <c r="L1244" s="135"/>
    </row>
    <row r="1245" spans="3:12">
      <c r="C1245" s="136"/>
      <c r="D1245" s="136"/>
      <c r="E1245" s="136"/>
      <c r="F1245" s="131"/>
      <c r="G1245" s="131"/>
      <c r="H1245" s="131"/>
      <c r="I1245" s="131"/>
      <c r="L1245" s="135"/>
    </row>
    <row r="1246" spans="3:12">
      <c r="C1246" s="136"/>
      <c r="D1246" s="136"/>
      <c r="E1246" s="136"/>
      <c r="F1246" s="131"/>
      <c r="G1246" s="131"/>
      <c r="H1246" s="131"/>
      <c r="I1246" s="131"/>
      <c r="L1246" s="135"/>
    </row>
    <row r="1247" spans="3:12">
      <c r="C1247" s="136"/>
      <c r="D1247" s="136"/>
      <c r="E1247" s="136"/>
      <c r="F1247" s="131"/>
      <c r="G1247" s="131"/>
      <c r="H1247" s="131"/>
      <c r="I1247" s="131"/>
      <c r="L1247" s="135"/>
    </row>
    <row r="1248" spans="3:12">
      <c r="C1248" s="136"/>
      <c r="D1248" s="136"/>
      <c r="E1248" s="136"/>
      <c r="F1248" s="131"/>
      <c r="G1248" s="131"/>
      <c r="H1248" s="131"/>
      <c r="I1248" s="131"/>
      <c r="L1248" s="135"/>
    </row>
    <row r="1249" spans="3:12">
      <c r="C1249" s="136"/>
      <c r="D1249" s="136"/>
      <c r="E1249" s="136"/>
      <c r="F1249" s="131"/>
      <c r="G1249" s="131"/>
      <c r="H1249" s="131"/>
      <c r="I1249" s="131"/>
      <c r="L1249" s="135"/>
    </row>
    <row r="1250" spans="3:12">
      <c r="C1250" s="136"/>
      <c r="D1250" s="136"/>
      <c r="E1250" s="136"/>
      <c r="F1250" s="131"/>
      <c r="G1250" s="131"/>
      <c r="H1250" s="131"/>
      <c r="I1250" s="131"/>
      <c r="L1250" s="135"/>
    </row>
    <row r="1251" spans="3:12">
      <c r="C1251" s="136"/>
      <c r="D1251" s="136"/>
      <c r="E1251" s="136"/>
      <c r="F1251" s="131"/>
      <c r="G1251" s="131"/>
      <c r="H1251" s="131"/>
      <c r="I1251" s="131"/>
      <c r="L1251" s="135"/>
    </row>
    <row r="1252" spans="3:12">
      <c r="C1252" s="136"/>
      <c r="D1252" s="136"/>
      <c r="E1252" s="136"/>
      <c r="F1252" s="131"/>
      <c r="G1252" s="131"/>
      <c r="H1252" s="131"/>
      <c r="I1252" s="131"/>
      <c r="L1252" s="135"/>
    </row>
    <row r="1253" spans="3:12">
      <c r="C1253" s="136"/>
      <c r="D1253" s="136"/>
      <c r="E1253" s="136"/>
      <c r="F1253" s="131"/>
      <c r="G1253" s="131"/>
      <c r="H1253" s="131"/>
      <c r="I1253" s="131"/>
      <c r="L1253" s="135"/>
    </row>
    <row r="1254" spans="3:12">
      <c r="C1254" s="136"/>
      <c r="D1254" s="136"/>
      <c r="E1254" s="136"/>
      <c r="F1254" s="131"/>
      <c r="G1254" s="131"/>
      <c r="H1254" s="131"/>
      <c r="I1254" s="131"/>
      <c r="L1254" s="135"/>
    </row>
    <row r="1255" spans="3:12">
      <c r="C1255" s="136"/>
      <c r="D1255" s="136"/>
      <c r="E1255" s="136"/>
      <c r="F1255" s="131"/>
      <c r="G1255" s="131"/>
      <c r="H1255" s="131"/>
      <c r="I1255" s="131"/>
      <c r="L1255" s="135"/>
    </row>
    <row r="1256" spans="3:12">
      <c r="C1256" s="136"/>
      <c r="D1256" s="136"/>
      <c r="E1256" s="136"/>
      <c r="F1256" s="131"/>
      <c r="G1256" s="131"/>
      <c r="H1256" s="131"/>
      <c r="I1256" s="131"/>
      <c r="L1256" s="135"/>
    </row>
    <row r="1257" spans="3:12">
      <c r="C1257" s="136"/>
      <c r="D1257" s="136"/>
      <c r="E1257" s="136"/>
      <c r="F1257" s="131"/>
      <c r="G1257" s="131"/>
      <c r="H1257" s="131"/>
      <c r="I1257" s="131"/>
      <c r="L1257" s="135"/>
    </row>
    <row r="1258" spans="3:12">
      <c r="C1258" s="136"/>
      <c r="D1258" s="136"/>
      <c r="E1258" s="136"/>
      <c r="F1258" s="131"/>
      <c r="G1258" s="131"/>
      <c r="H1258" s="131"/>
      <c r="I1258" s="131"/>
      <c r="L1258" s="135"/>
    </row>
    <row r="1259" spans="3:12">
      <c r="C1259" s="136"/>
      <c r="D1259" s="136"/>
      <c r="E1259" s="136"/>
      <c r="F1259" s="131"/>
      <c r="G1259" s="131"/>
      <c r="H1259" s="131"/>
      <c r="I1259" s="131"/>
      <c r="L1259" s="135"/>
    </row>
    <row r="1260" spans="3:12">
      <c r="C1260" s="136"/>
      <c r="D1260" s="136"/>
      <c r="E1260" s="136"/>
      <c r="F1260" s="131"/>
      <c r="G1260" s="131"/>
      <c r="H1260" s="131"/>
      <c r="I1260" s="131"/>
      <c r="L1260" s="135"/>
    </row>
    <row r="1261" spans="3:12">
      <c r="C1261" s="136"/>
      <c r="D1261" s="136"/>
      <c r="E1261" s="136"/>
      <c r="F1261" s="131"/>
      <c r="G1261" s="131"/>
      <c r="H1261" s="131"/>
      <c r="I1261" s="131"/>
      <c r="L1261" s="135"/>
    </row>
    <row r="1262" spans="3:12">
      <c r="C1262" s="136"/>
      <c r="D1262" s="136"/>
      <c r="E1262" s="136"/>
      <c r="F1262" s="131"/>
      <c r="G1262" s="131"/>
      <c r="H1262" s="131"/>
      <c r="I1262" s="131"/>
      <c r="L1262" s="135"/>
    </row>
    <row r="1263" spans="3:12">
      <c r="C1263" s="136"/>
      <c r="D1263" s="136"/>
      <c r="E1263" s="136"/>
      <c r="F1263" s="131"/>
      <c r="G1263" s="131"/>
      <c r="H1263" s="131"/>
      <c r="I1263" s="131"/>
      <c r="L1263" s="135"/>
    </row>
    <row r="1264" spans="3:12">
      <c r="C1264" s="136"/>
      <c r="D1264" s="136"/>
      <c r="E1264" s="136"/>
      <c r="F1264" s="131"/>
      <c r="G1264" s="131"/>
      <c r="H1264" s="131"/>
      <c r="I1264" s="131"/>
      <c r="L1264" s="135"/>
    </row>
    <row r="1265" spans="3:12">
      <c r="C1265" s="136"/>
      <c r="D1265" s="136"/>
      <c r="E1265" s="136"/>
      <c r="F1265" s="131"/>
      <c r="G1265" s="131"/>
      <c r="H1265" s="131"/>
      <c r="I1265" s="131"/>
      <c r="L1265" s="135"/>
    </row>
    <row r="1266" spans="3:12">
      <c r="C1266" s="136"/>
      <c r="D1266" s="136"/>
      <c r="E1266" s="136"/>
      <c r="F1266" s="131"/>
      <c r="G1266" s="131"/>
      <c r="H1266" s="131"/>
      <c r="I1266" s="131"/>
      <c r="L1266" s="135"/>
    </row>
    <row r="1267" spans="3:12">
      <c r="C1267" s="136"/>
      <c r="D1267" s="136"/>
      <c r="E1267" s="136"/>
      <c r="F1267" s="131"/>
      <c r="G1267" s="131"/>
      <c r="H1267" s="131"/>
      <c r="I1267" s="131"/>
      <c r="L1267" s="135"/>
    </row>
    <row r="1268" spans="3:12">
      <c r="C1268" s="136"/>
      <c r="D1268" s="136"/>
      <c r="E1268" s="136"/>
      <c r="F1268" s="131"/>
      <c r="G1268" s="131"/>
      <c r="H1268" s="131"/>
      <c r="I1268" s="131"/>
      <c r="L1268" s="135"/>
    </row>
    <row r="1269" spans="3:12">
      <c r="C1269" s="136"/>
      <c r="D1269" s="136"/>
      <c r="E1269" s="136"/>
      <c r="F1269" s="131"/>
      <c r="G1269" s="131"/>
      <c r="H1269" s="131"/>
      <c r="I1269" s="131"/>
      <c r="L1269" s="135"/>
    </row>
    <row r="1270" spans="3:12">
      <c r="C1270" s="136"/>
      <c r="D1270" s="136"/>
      <c r="E1270" s="136"/>
      <c r="F1270" s="131"/>
      <c r="G1270" s="131"/>
      <c r="H1270" s="131"/>
      <c r="I1270" s="131"/>
      <c r="L1270" s="135"/>
    </row>
    <row r="1271" spans="3:12">
      <c r="C1271" s="136"/>
      <c r="D1271" s="136"/>
      <c r="E1271" s="136"/>
      <c r="F1271" s="131"/>
      <c r="G1271" s="131"/>
      <c r="H1271" s="131"/>
      <c r="I1271" s="131"/>
      <c r="L1271" s="135"/>
    </row>
    <row r="1272" spans="3:12">
      <c r="C1272" s="136"/>
      <c r="D1272" s="136"/>
      <c r="E1272" s="136"/>
      <c r="F1272" s="131"/>
      <c r="G1272" s="131"/>
      <c r="H1272" s="131"/>
      <c r="I1272" s="131"/>
      <c r="L1272" s="135"/>
    </row>
    <row r="1273" spans="3:12">
      <c r="C1273" s="136"/>
      <c r="D1273" s="136"/>
      <c r="E1273" s="136"/>
      <c r="F1273" s="131"/>
      <c r="G1273" s="131"/>
      <c r="H1273" s="131"/>
      <c r="I1273" s="131"/>
      <c r="L1273" s="135"/>
    </row>
    <row r="1274" spans="3:12">
      <c r="C1274" s="136"/>
      <c r="D1274" s="136"/>
      <c r="E1274" s="136"/>
      <c r="F1274" s="131"/>
      <c r="G1274" s="131"/>
      <c r="H1274" s="131"/>
      <c r="I1274" s="131"/>
      <c r="L1274" s="135"/>
    </row>
    <row r="1275" spans="3:12">
      <c r="C1275" s="136"/>
      <c r="D1275" s="136"/>
      <c r="E1275" s="136"/>
      <c r="F1275" s="131"/>
      <c r="G1275" s="131"/>
      <c r="H1275" s="131"/>
      <c r="I1275" s="131"/>
      <c r="L1275" s="135"/>
    </row>
    <row r="1276" spans="3:12">
      <c r="C1276" s="136"/>
      <c r="D1276" s="136"/>
      <c r="E1276" s="136"/>
      <c r="F1276" s="131"/>
      <c r="G1276" s="131"/>
      <c r="H1276" s="131"/>
      <c r="I1276" s="131"/>
      <c r="L1276" s="135"/>
    </row>
    <row r="1277" spans="3:12">
      <c r="C1277" s="136"/>
      <c r="D1277" s="136"/>
      <c r="E1277" s="136"/>
      <c r="F1277" s="131"/>
      <c r="G1277" s="131"/>
      <c r="H1277" s="131"/>
      <c r="I1277" s="131"/>
      <c r="L1277" s="135"/>
    </row>
    <row r="1278" spans="3:12">
      <c r="C1278" s="136"/>
      <c r="D1278" s="136"/>
      <c r="E1278" s="136"/>
      <c r="F1278" s="131"/>
      <c r="G1278" s="131"/>
      <c r="H1278" s="131"/>
      <c r="I1278" s="131"/>
      <c r="L1278" s="135"/>
    </row>
    <row r="1279" spans="3:12">
      <c r="C1279" s="136"/>
      <c r="D1279" s="136"/>
      <c r="E1279" s="136"/>
      <c r="F1279" s="131"/>
      <c r="G1279" s="131"/>
      <c r="H1279" s="131"/>
      <c r="I1279" s="131"/>
      <c r="L1279" s="135"/>
    </row>
    <row r="1280" spans="3:12">
      <c r="C1280" s="136"/>
      <c r="D1280" s="136"/>
      <c r="E1280" s="136"/>
      <c r="F1280" s="131"/>
      <c r="G1280" s="131"/>
      <c r="H1280" s="131"/>
      <c r="I1280" s="131"/>
      <c r="L1280" s="135"/>
    </row>
    <row r="1281" spans="3:12">
      <c r="C1281" s="136"/>
      <c r="D1281" s="136"/>
      <c r="E1281" s="136"/>
      <c r="F1281" s="131"/>
      <c r="G1281" s="131"/>
      <c r="H1281" s="131"/>
      <c r="I1281" s="131"/>
      <c r="L1281" s="135"/>
    </row>
    <row r="1282" spans="3:12">
      <c r="C1282" s="136"/>
      <c r="D1282" s="136"/>
      <c r="E1282" s="136"/>
      <c r="F1282" s="131"/>
      <c r="G1282" s="131"/>
      <c r="H1282" s="131"/>
      <c r="I1282" s="131"/>
      <c r="L1282" s="135"/>
    </row>
    <row r="1283" spans="3:12">
      <c r="C1283" s="136"/>
      <c r="D1283" s="136"/>
      <c r="E1283" s="136"/>
      <c r="F1283" s="131"/>
      <c r="G1283" s="131"/>
      <c r="H1283" s="131"/>
      <c r="I1283" s="131"/>
      <c r="L1283" s="135"/>
    </row>
    <row r="1284" spans="3:12">
      <c r="C1284" s="136"/>
      <c r="D1284" s="136"/>
      <c r="E1284" s="136"/>
      <c r="F1284" s="131"/>
      <c r="G1284" s="131"/>
      <c r="H1284" s="131"/>
      <c r="I1284" s="131"/>
      <c r="L1284" s="135"/>
    </row>
    <row r="1285" spans="3:12">
      <c r="C1285" s="136"/>
      <c r="D1285" s="136"/>
      <c r="E1285" s="136"/>
      <c r="F1285" s="131"/>
      <c r="G1285" s="131"/>
      <c r="H1285" s="131"/>
      <c r="I1285" s="131"/>
      <c r="L1285" s="135"/>
    </row>
    <row r="1286" spans="3:12">
      <c r="C1286" s="136"/>
      <c r="D1286" s="136"/>
      <c r="E1286" s="136"/>
      <c r="F1286" s="131"/>
      <c r="G1286" s="131"/>
      <c r="H1286" s="131"/>
      <c r="I1286" s="131"/>
      <c r="L1286" s="135"/>
    </row>
    <row r="1287" spans="3:12">
      <c r="C1287" s="136"/>
      <c r="D1287" s="136"/>
      <c r="E1287" s="136"/>
      <c r="F1287" s="131"/>
      <c r="G1287" s="131"/>
      <c r="H1287" s="131"/>
      <c r="I1287" s="131"/>
      <c r="L1287" s="135"/>
    </row>
    <row r="1288" spans="3:12">
      <c r="C1288" s="136"/>
      <c r="D1288" s="136"/>
      <c r="E1288" s="136"/>
      <c r="F1288" s="131"/>
      <c r="G1288" s="131"/>
      <c r="H1288" s="131"/>
      <c r="I1288" s="131"/>
      <c r="L1288" s="135"/>
    </row>
    <row r="1289" spans="3:12">
      <c r="C1289" s="136"/>
      <c r="D1289" s="136"/>
      <c r="E1289" s="136"/>
      <c r="F1289" s="131"/>
      <c r="G1289" s="131"/>
      <c r="H1289" s="131"/>
      <c r="I1289" s="131"/>
      <c r="L1289" s="135"/>
    </row>
    <row r="1290" spans="3:12">
      <c r="C1290" s="136"/>
      <c r="D1290" s="136"/>
      <c r="E1290" s="136"/>
      <c r="F1290" s="131"/>
      <c r="G1290" s="131"/>
      <c r="H1290" s="131"/>
      <c r="I1290" s="131"/>
      <c r="L1290" s="135"/>
    </row>
    <row r="1291" spans="3:12">
      <c r="C1291" s="136"/>
      <c r="D1291" s="136"/>
      <c r="E1291" s="136"/>
      <c r="F1291" s="131"/>
      <c r="G1291" s="131"/>
      <c r="H1291" s="131"/>
      <c r="I1291" s="131"/>
      <c r="L1291" s="135"/>
    </row>
    <row r="1292" spans="3:12">
      <c r="C1292" s="136"/>
      <c r="D1292" s="136"/>
      <c r="E1292" s="136"/>
      <c r="F1292" s="131"/>
      <c r="G1292" s="131"/>
      <c r="H1292" s="131"/>
      <c r="I1292" s="131"/>
      <c r="L1292" s="135"/>
    </row>
    <row r="1293" spans="3:12">
      <c r="C1293" s="136"/>
      <c r="D1293" s="136"/>
      <c r="E1293" s="136"/>
      <c r="F1293" s="131"/>
      <c r="G1293" s="131"/>
      <c r="H1293" s="131"/>
      <c r="I1293" s="131"/>
      <c r="L1293" s="135"/>
    </row>
    <row r="1294" spans="3:12">
      <c r="C1294" s="136"/>
      <c r="D1294" s="136"/>
      <c r="E1294" s="136"/>
      <c r="F1294" s="131"/>
      <c r="G1294" s="131"/>
      <c r="H1294" s="131"/>
      <c r="I1294" s="131"/>
      <c r="L1294" s="135"/>
    </row>
    <row r="1295" spans="3:12">
      <c r="C1295" s="136"/>
      <c r="D1295" s="136"/>
      <c r="E1295" s="136"/>
      <c r="F1295" s="131"/>
      <c r="G1295" s="131"/>
      <c r="H1295" s="131"/>
      <c r="I1295" s="131"/>
      <c r="L1295" s="135"/>
    </row>
    <row r="1296" spans="3:12">
      <c r="C1296" s="136"/>
      <c r="D1296" s="136"/>
      <c r="E1296" s="136"/>
      <c r="F1296" s="131"/>
      <c r="G1296" s="131"/>
      <c r="H1296" s="131"/>
      <c r="I1296" s="131"/>
      <c r="L1296" s="135"/>
    </row>
    <row r="1297" spans="3:12">
      <c r="C1297" s="136"/>
      <c r="D1297" s="136"/>
      <c r="E1297" s="136"/>
      <c r="F1297" s="131"/>
      <c r="G1297" s="131"/>
      <c r="H1297" s="131"/>
      <c r="I1297" s="131"/>
      <c r="L1297" s="135"/>
    </row>
    <row r="1298" spans="3:12">
      <c r="C1298" s="136"/>
      <c r="D1298" s="136"/>
      <c r="E1298" s="136"/>
      <c r="F1298" s="131"/>
      <c r="G1298" s="131"/>
      <c r="H1298" s="131"/>
      <c r="I1298" s="131"/>
      <c r="L1298" s="135"/>
    </row>
    <row r="1299" spans="3:12">
      <c r="C1299" s="136"/>
      <c r="D1299" s="136"/>
      <c r="E1299" s="136"/>
      <c r="F1299" s="131"/>
      <c r="G1299" s="131"/>
      <c r="H1299" s="131"/>
      <c r="I1299" s="131"/>
      <c r="L1299" s="135"/>
    </row>
    <row r="1300" spans="3:12">
      <c r="C1300" s="136"/>
      <c r="D1300" s="136"/>
      <c r="E1300" s="136"/>
      <c r="F1300" s="131"/>
      <c r="G1300" s="131"/>
      <c r="H1300" s="131"/>
      <c r="I1300" s="131"/>
      <c r="L1300" s="135"/>
    </row>
    <row r="1301" spans="3:12">
      <c r="C1301" s="136"/>
      <c r="D1301" s="136"/>
      <c r="E1301" s="136"/>
      <c r="F1301" s="131"/>
      <c r="G1301" s="131"/>
      <c r="H1301" s="131"/>
      <c r="I1301" s="131"/>
      <c r="L1301" s="135"/>
    </row>
    <row r="1302" spans="3:12">
      <c r="C1302" s="136"/>
      <c r="D1302" s="136"/>
      <c r="E1302" s="136"/>
      <c r="F1302" s="131"/>
      <c r="G1302" s="131"/>
      <c r="H1302" s="131"/>
      <c r="I1302" s="131"/>
      <c r="L1302" s="135"/>
    </row>
    <row r="1303" spans="3:12">
      <c r="C1303" s="136"/>
      <c r="D1303" s="136"/>
      <c r="E1303" s="136"/>
      <c r="F1303" s="131"/>
      <c r="G1303" s="131"/>
      <c r="H1303" s="131"/>
      <c r="I1303" s="131"/>
      <c r="L1303" s="135"/>
    </row>
    <row r="1304" spans="3:12">
      <c r="C1304" s="136"/>
      <c r="D1304" s="136"/>
      <c r="E1304" s="136"/>
      <c r="F1304" s="131"/>
      <c r="G1304" s="131"/>
      <c r="H1304" s="131"/>
      <c r="I1304" s="131"/>
      <c r="L1304" s="135"/>
    </row>
    <row r="1305" spans="3:12">
      <c r="C1305" s="136"/>
      <c r="D1305" s="136"/>
      <c r="E1305" s="136"/>
      <c r="F1305" s="131"/>
      <c r="G1305" s="131"/>
      <c r="H1305" s="131"/>
      <c r="I1305" s="131"/>
      <c r="L1305" s="135"/>
    </row>
    <row r="1306" spans="3:12">
      <c r="C1306" s="136"/>
      <c r="D1306" s="136"/>
      <c r="E1306" s="136"/>
      <c r="F1306" s="131"/>
      <c r="G1306" s="131"/>
      <c r="H1306" s="131"/>
      <c r="I1306" s="131"/>
      <c r="L1306" s="135"/>
    </row>
    <row r="1307" spans="3:12">
      <c r="C1307" s="136"/>
      <c r="D1307" s="136"/>
      <c r="E1307" s="136"/>
      <c r="F1307" s="131"/>
      <c r="G1307" s="131"/>
      <c r="H1307" s="131"/>
      <c r="I1307" s="131"/>
      <c r="L1307" s="135"/>
    </row>
    <row r="1308" spans="3:12">
      <c r="C1308" s="136"/>
      <c r="D1308" s="136"/>
      <c r="E1308" s="136"/>
      <c r="F1308" s="131"/>
      <c r="G1308" s="131"/>
      <c r="H1308" s="131"/>
      <c r="I1308" s="131"/>
      <c r="L1308" s="135"/>
    </row>
    <row r="1309" spans="3:12">
      <c r="C1309" s="136"/>
      <c r="D1309" s="136"/>
      <c r="E1309" s="136"/>
      <c r="F1309" s="131"/>
      <c r="G1309" s="131"/>
      <c r="H1309" s="131"/>
      <c r="I1309" s="131"/>
      <c r="L1309" s="135"/>
    </row>
    <row r="1310" spans="3:12">
      <c r="C1310" s="136"/>
      <c r="D1310" s="136"/>
      <c r="E1310" s="136"/>
      <c r="F1310" s="131"/>
      <c r="G1310" s="131"/>
      <c r="H1310" s="131"/>
      <c r="I1310" s="131"/>
      <c r="L1310" s="135"/>
    </row>
    <row r="1311" spans="3:12">
      <c r="C1311" s="136"/>
      <c r="D1311" s="136"/>
      <c r="E1311" s="136"/>
      <c r="F1311" s="131"/>
      <c r="G1311" s="131"/>
      <c r="H1311" s="131"/>
      <c r="I1311" s="131"/>
      <c r="L1311" s="135"/>
    </row>
    <row r="1312" spans="3:12">
      <c r="C1312" s="136"/>
      <c r="D1312" s="136"/>
      <c r="E1312" s="136"/>
      <c r="F1312" s="131"/>
      <c r="G1312" s="131"/>
      <c r="H1312" s="131"/>
      <c r="I1312" s="131"/>
      <c r="L1312" s="135"/>
    </row>
    <row r="1313" spans="3:12">
      <c r="C1313" s="136"/>
      <c r="D1313" s="136"/>
      <c r="E1313" s="136"/>
      <c r="F1313" s="131"/>
      <c r="G1313" s="131"/>
      <c r="H1313" s="131"/>
      <c r="I1313" s="131"/>
      <c r="L1313" s="135"/>
    </row>
    <row r="1314" spans="3:12">
      <c r="C1314" s="136"/>
      <c r="D1314" s="136"/>
      <c r="E1314" s="136"/>
      <c r="F1314" s="131"/>
      <c r="G1314" s="131"/>
      <c r="H1314" s="131"/>
      <c r="I1314" s="131"/>
      <c r="L1314" s="135"/>
    </row>
    <row r="1315" spans="3:12">
      <c r="C1315" s="136"/>
      <c r="D1315" s="136"/>
      <c r="E1315" s="136"/>
      <c r="F1315" s="131"/>
      <c r="G1315" s="131"/>
      <c r="H1315" s="131"/>
      <c r="I1315" s="131"/>
      <c r="L1315" s="135"/>
    </row>
    <row r="1316" spans="3:12">
      <c r="C1316" s="136"/>
      <c r="D1316" s="136"/>
      <c r="E1316" s="136"/>
      <c r="F1316" s="131"/>
      <c r="G1316" s="131"/>
      <c r="H1316" s="131"/>
      <c r="I1316" s="131"/>
      <c r="L1316" s="135"/>
    </row>
    <row r="1317" spans="3:12">
      <c r="C1317" s="136"/>
      <c r="D1317" s="136"/>
      <c r="E1317" s="136"/>
      <c r="F1317" s="131"/>
      <c r="G1317" s="131"/>
      <c r="H1317" s="131"/>
      <c r="I1317" s="131"/>
      <c r="L1317" s="135"/>
    </row>
    <row r="1318" spans="3:12">
      <c r="C1318" s="136"/>
      <c r="D1318" s="136"/>
      <c r="E1318" s="136"/>
      <c r="F1318" s="131"/>
      <c r="G1318" s="131"/>
      <c r="H1318" s="131"/>
      <c r="I1318" s="131"/>
      <c r="L1318" s="135"/>
    </row>
    <row r="1319" spans="3:12">
      <c r="C1319" s="136"/>
      <c r="D1319" s="136"/>
      <c r="E1319" s="136"/>
      <c r="F1319" s="131"/>
      <c r="G1319" s="131"/>
      <c r="H1319" s="131"/>
      <c r="I1319" s="131"/>
      <c r="L1319" s="135"/>
    </row>
    <row r="1320" spans="3:12">
      <c r="C1320" s="136"/>
      <c r="D1320" s="136"/>
      <c r="E1320" s="136"/>
      <c r="F1320" s="131"/>
      <c r="G1320" s="131"/>
      <c r="H1320" s="131"/>
      <c r="I1320" s="131"/>
      <c r="L1320" s="135"/>
    </row>
    <row r="1321" spans="3:12">
      <c r="C1321" s="136"/>
      <c r="D1321" s="136"/>
      <c r="E1321" s="136"/>
      <c r="F1321" s="131"/>
      <c r="G1321" s="131"/>
      <c r="H1321" s="131"/>
      <c r="I1321" s="131"/>
      <c r="L1321" s="135"/>
    </row>
    <row r="1322" spans="3:12">
      <c r="C1322" s="136"/>
      <c r="D1322" s="136"/>
      <c r="E1322" s="136"/>
      <c r="F1322" s="131"/>
      <c r="G1322" s="131"/>
      <c r="H1322" s="131"/>
      <c r="I1322" s="131"/>
      <c r="L1322" s="135"/>
    </row>
    <row r="1323" spans="3:12">
      <c r="C1323" s="136"/>
      <c r="D1323" s="136"/>
      <c r="E1323" s="136"/>
      <c r="F1323" s="131"/>
      <c r="G1323" s="131"/>
      <c r="H1323" s="131"/>
      <c r="I1323" s="131"/>
      <c r="L1323" s="135"/>
    </row>
    <row r="1324" spans="3:12">
      <c r="C1324" s="136"/>
      <c r="D1324" s="136"/>
      <c r="E1324" s="136"/>
      <c r="F1324" s="131"/>
      <c r="G1324" s="131"/>
      <c r="H1324" s="131"/>
      <c r="I1324" s="131"/>
      <c r="L1324" s="135"/>
    </row>
    <row r="1325" spans="3:12">
      <c r="C1325" s="136"/>
      <c r="D1325" s="136"/>
      <c r="E1325" s="136"/>
      <c r="F1325" s="131"/>
      <c r="G1325" s="131"/>
      <c r="H1325" s="131"/>
      <c r="I1325" s="131"/>
      <c r="L1325" s="135"/>
    </row>
    <row r="1326" spans="3:12">
      <c r="C1326" s="136"/>
      <c r="D1326" s="136"/>
      <c r="E1326" s="136"/>
      <c r="F1326" s="131"/>
      <c r="G1326" s="131"/>
      <c r="H1326" s="131"/>
      <c r="I1326" s="131"/>
      <c r="L1326" s="135"/>
    </row>
    <row r="1327" spans="3:12">
      <c r="C1327" s="136"/>
      <c r="D1327" s="136"/>
      <c r="E1327" s="136"/>
      <c r="F1327" s="131"/>
      <c r="G1327" s="131"/>
      <c r="H1327" s="131"/>
      <c r="I1327" s="131"/>
      <c r="L1327" s="135"/>
    </row>
    <row r="1328" spans="3:12">
      <c r="C1328" s="136"/>
      <c r="D1328" s="136"/>
      <c r="E1328" s="136"/>
      <c r="F1328" s="131"/>
      <c r="G1328" s="131"/>
      <c r="H1328" s="131"/>
      <c r="I1328" s="131"/>
      <c r="L1328" s="135"/>
    </row>
    <row r="1329" spans="3:12">
      <c r="C1329" s="136"/>
      <c r="D1329" s="136"/>
      <c r="E1329" s="136"/>
      <c r="F1329" s="131"/>
      <c r="G1329" s="131"/>
      <c r="H1329" s="131"/>
      <c r="I1329" s="131"/>
      <c r="L1329" s="135"/>
    </row>
    <row r="1330" spans="3:12">
      <c r="C1330" s="136"/>
      <c r="D1330" s="136"/>
      <c r="E1330" s="136"/>
      <c r="F1330" s="131"/>
      <c r="G1330" s="131"/>
      <c r="H1330" s="131"/>
      <c r="I1330" s="131"/>
      <c r="L1330" s="135"/>
    </row>
    <row r="1331" spans="3:12">
      <c r="C1331" s="136"/>
      <c r="D1331" s="136"/>
      <c r="E1331" s="136"/>
      <c r="F1331" s="131"/>
      <c r="G1331" s="131"/>
      <c r="H1331" s="131"/>
      <c r="I1331" s="131"/>
      <c r="L1331" s="135"/>
    </row>
    <row r="1332" spans="3:12">
      <c r="C1332" s="136"/>
      <c r="D1332" s="136"/>
      <c r="E1332" s="136"/>
      <c r="F1332" s="131"/>
      <c r="G1332" s="131"/>
      <c r="H1332" s="131"/>
      <c r="I1332" s="131"/>
      <c r="L1332" s="135"/>
    </row>
    <row r="1333" spans="3:12">
      <c r="C1333" s="136"/>
      <c r="D1333" s="136"/>
      <c r="E1333" s="136"/>
      <c r="F1333" s="131"/>
      <c r="G1333" s="131"/>
      <c r="H1333" s="131"/>
      <c r="I1333" s="131"/>
      <c r="L1333" s="135"/>
    </row>
    <row r="1334" spans="3:12">
      <c r="C1334" s="136"/>
      <c r="D1334" s="136"/>
      <c r="E1334" s="136"/>
      <c r="F1334" s="131"/>
      <c r="G1334" s="131"/>
      <c r="H1334" s="131"/>
      <c r="I1334" s="131"/>
      <c r="L1334" s="135"/>
    </row>
    <row r="1335" spans="3:12">
      <c r="C1335" s="136"/>
      <c r="D1335" s="136"/>
      <c r="E1335" s="136"/>
      <c r="F1335" s="131"/>
      <c r="G1335" s="131"/>
      <c r="H1335" s="131"/>
      <c r="I1335" s="131"/>
      <c r="L1335" s="135"/>
    </row>
    <row r="1336" spans="3:12">
      <c r="C1336" s="136"/>
      <c r="D1336" s="136"/>
      <c r="E1336" s="136"/>
      <c r="F1336" s="131"/>
      <c r="G1336" s="131"/>
      <c r="H1336" s="131"/>
      <c r="I1336" s="131"/>
      <c r="L1336" s="135"/>
    </row>
    <row r="1337" spans="3:12">
      <c r="C1337" s="136"/>
      <c r="D1337" s="136"/>
      <c r="E1337" s="136"/>
      <c r="F1337" s="131"/>
      <c r="G1337" s="131"/>
      <c r="H1337" s="131"/>
      <c r="I1337" s="131"/>
      <c r="L1337" s="135"/>
    </row>
    <row r="1338" spans="3:12">
      <c r="C1338" s="136"/>
      <c r="D1338" s="136"/>
      <c r="E1338" s="136"/>
      <c r="F1338" s="131"/>
      <c r="G1338" s="131"/>
      <c r="H1338" s="131"/>
      <c r="I1338" s="131"/>
      <c r="L1338" s="135"/>
    </row>
    <row r="1339" spans="3:12">
      <c r="C1339" s="136"/>
      <c r="D1339" s="136"/>
      <c r="E1339" s="136"/>
      <c r="F1339" s="131"/>
      <c r="G1339" s="131"/>
      <c r="H1339" s="131"/>
      <c r="I1339" s="131"/>
      <c r="L1339" s="135"/>
    </row>
    <row r="1340" spans="3:12">
      <c r="C1340" s="136"/>
      <c r="D1340" s="136"/>
      <c r="E1340" s="136"/>
      <c r="F1340" s="131"/>
      <c r="G1340" s="131"/>
      <c r="H1340" s="131"/>
      <c r="I1340" s="131"/>
      <c r="L1340" s="135"/>
    </row>
    <row r="1341" spans="3:12">
      <c r="C1341" s="136"/>
      <c r="D1341" s="136"/>
      <c r="E1341" s="136"/>
      <c r="F1341" s="131"/>
      <c r="G1341" s="131"/>
      <c r="H1341" s="131"/>
      <c r="I1341" s="131"/>
      <c r="L1341" s="135"/>
    </row>
    <row r="1342" spans="3:12">
      <c r="C1342" s="136"/>
      <c r="D1342" s="136"/>
      <c r="E1342" s="136"/>
      <c r="F1342" s="131"/>
      <c r="G1342" s="131"/>
      <c r="H1342" s="131"/>
      <c r="I1342" s="131"/>
      <c r="L1342" s="135"/>
    </row>
    <row r="1343" spans="3:12">
      <c r="C1343" s="136"/>
      <c r="D1343" s="136"/>
      <c r="E1343" s="136"/>
      <c r="F1343" s="131"/>
      <c r="G1343" s="131"/>
      <c r="H1343" s="131"/>
      <c r="I1343" s="131"/>
      <c r="L1343" s="135"/>
    </row>
    <row r="1344" spans="3:12">
      <c r="C1344" s="136"/>
      <c r="D1344" s="136"/>
      <c r="E1344" s="136"/>
      <c r="F1344" s="131"/>
      <c r="G1344" s="131"/>
      <c r="H1344" s="131"/>
      <c r="I1344" s="131"/>
      <c r="L1344" s="135"/>
    </row>
    <row r="1345" spans="3:12">
      <c r="C1345" s="136"/>
      <c r="D1345" s="136"/>
      <c r="E1345" s="136"/>
      <c r="F1345" s="131"/>
      <c r="G1345" s="131"/>
      <c r="H1345" s="131"/>
      <c r="I1345" s="131"/>
      <c r="L1345" s="135"/>
    </row>
    <row r="1346" spans="3:12">
      <c r="C1346" s="136"/>
      <c r="D1346" s="136"/>
      <c r="E1346" s="136"/>
      <c r="F1346" s="131"/>
      <c r="G1346" s="131"/>
      <c r="H1346" s="131"/>
      <c r="I1346" s="131"/>
      <c r="L1346" s="135"/>
    </row>
    <row r="1347" spans="3:12">
      <c r="C1347" s="136"/>
      <c r="D1347" s="136"/>
      <c r="E1347" s="136"/>
      <c r="F1347" s="131"/>
      <c r="G1347" s="131"/>
      <c r="H1347" s="131"/>
      <c r="I1347" s="131"/>
      <c r="L1347" s="135"/>
    </row>
    <row r="1348" spans="3:12">
      <c r="C1348" s="136"/>
      <c r="D1348" s="136"/>
      <c r="E1348" s="136"/>
      <c r="F1348" s="131"/>
      <c r="G1348" s="131"/>
      <c r="H1348" s="131"/>
      <c r="I1348" s="131"/>
      <c r="L1348" s="135"/>
    </row>
    <row r="1349" spans="3:12">
      <c r="C1349" s="136"/>
      <c r="D1349" s="136"/>
      <c r="E1349" s="136"/>
      <c r="F1349" s="131"/>
      <c r="G1349" s="131"/>
      <c r="H1349" s="131"/>
      <c r="I1349" s="131"/>
      <c r="L1349" s="135"/>
    </row>
    <row r="1350" spans="3:12">
      <c r="C1350" s="136"/>
      <c r="D1350" s="136"/>
      <c r="E1350" s="136"/>
      <c r="F1350" s="131"/>
      <c r="G1350" s="131"/>
      <c r="H1350" s="131"/>
      <c r="I1350" s="131"/>
      <c r="L1350" s="135"/>
    </row>
    <row r="1351" spans="3:12">
      <c r="C1351" s="136"/>
      <c r="D1351" s="136"/>
      <c r="E1351" s="136"/>
      <c r="F1351" s="131"/>
      <c r="G1351" s="131"/>
      <c r="H1351" s="131"/>
      <c r="I1351" s="131"/>
      <c r="L1351" s="135"/>
    </row>
    <row r="1352" spans="3:12">
      <c r="C1352" s="136"/>
      <c r="D1352" s="136"/>
      <c r="E1352" s="136"/>
      <c r="F1352" s="131"/>
      <c r="G1352" s="131"/>
      <c r="H1352" s="131"/>
      <c r="I1352" s="131"/>
      <c r="L1352" s="135"/>
    </row>
    <row r="1353" spans="3:12">
      <c r="C1353" s="136"/>
      <c r="D1353" s="136"/>
      <c r="E1353" s="136"/>
      <c r="F1353" s="131"/>
      <c r="G1353" s="131"/>
      <c r="H1353" s="131"/>
      <c r="I1353" s="131"/>
      <c r="L1353" s="135"/>
    </row>
    <row r="1354" spans="3:12">
      <c r="C1354" s="136"/>
      <c r="D1354" s="136"/>
      <c r="E1354" s="136"/>
      <c r="F1354" s="131"/>
      <c r="G1354" s="131"/>
      <c r="H1354" s="131"/>
      <c r="I1354" s="131"/>
      <c r="L1354" s="135"/>
    </row>
    <row r="1355" spans="3:12">
      <c r="C1355" s="136"/>
      <c r="D1355" s="136"/>
      <c r="E1355" s="136"/>
      <c r="F1355" s="131"/>
      <c r="G1355" s="131"/>
      <c r="H1355" s="131"/>
      <c r="I1355" s="131"/>
      <c r="L1355" s="135"/>
    </row>
    <row r="1356" spans="3:12">
      <c r="C1356" s="136"/>
      <c r="D1356" s="136"/>
      <c r="E1356" s="136"/>
      <c r="F1356" s="131"/>
      <c r="G1356" s="131"/>
      <c r="H1356" s="131"/>
      <c r="I1356" s="131"/>
      <c r="L1356" s="135"/>
    </row>
    <row r="1357" spans="3:12">
      <c r="C1357" s="136"/>
      <c r="D1357" s="136"/>
      <c r="E1357" s="136"/>
      <c r="F1357" s="131"/>
      <c r="G1357" s="131"/>
      <c r="H1357" s="131"/>
      <c r="I1357" s="131"/>
      <c r="L1357" s="135"/>
    </row>
    <row r="1358" spans="3:12">
      <c r="C1358" s="136"/>
      <c r="D1358" s="136"/>
      <c r="E1358" s="136"/>
      <c r="F1358" s="131"/>
      <c r="G1358" s="131"/>
      <c r="H1358" s="131"/>
      <c r="I1358" s="131"/>
      <c r="L1358" s="135"/>
    </row>
    <row r="1359" spans="3:12">
      <c r="C1359" s="136"/>
      <c r="D1359" s="136"/>
      <c r="E1359" s="136"/>
      <c r="F1359" s="131"/>
      <c r="G1359" s="131"/>
      <c r="H1359" s="131"/>
      <c r="I1359" s="131"/>
      <c r="L1359" s="135"/>
    </row>
    <row r="1360" spans="3:12">
      <c r="C1360" s="136"/>
      <c r="D1360" s="136"/>
      <c r="E1360" s="136"/>
      <c r="F1360" s="131"/>
      <c r="G1360" s="131"/>
      <c r="H1360" s="131"/>
      <c r="I1360" s="131"/>
      <c r="L1360" s="135"/>
    </row>
    <row r="1361" spans="3:12">
      <c r="C1361" s="136"/>
      <c r="D1361" s="136"/>
      <c r="E1361" s="136"/>
      <c r="F1361" s="131"/>
      <c r="G1361" s="131"/>
      <c r="H1361" s="131"/>
      <c r="I1361" s="131"/>
      <c r="L1361" s="135"/>
    </row>
    <row r="1362" spans="3:12">
      <c r="C1362" s="136"/>
      <c r="D1362" s="136"/>
      <c r="E1362" s="136"/>
      <c r="F1362" s="131"/>
      <c r="G1362" s="131"/>
      <c r="H1362" s="131"/>
      <c r="I1362" s="131"/>
      <c r="L1362" s="135"/>
    </row>
    <row r="1363" spans="3:12">
      <c r="C1363" s="136"/>
      <c r="D1363" s="136"/>
      <c r="E1363" s="136"/>
      <c r="F1363" s="131"/>
      <c r="G1363" s="131"/>
      <c r="H1363" s="131"/>
      <c r="I1363" s="131"/>
      <c r="L1363" s="135"/>
    </row>
    <row r="1364" spans="3:12">
      <c r="C1364" s="136"/>
      <c r="D1364" s="136"/>
      <c r="E1364" s="136"/>
      <c r="F1364" s="131"/>
      <c r="G1364" s="131"/>
      <c r="H1364" s="131"/>
      <c r="I1364" s="131"/>
      <c r="L1364" s="135"/>
    </row>
    <row r="1365" spans="3:12">
      <c r="C1365" s="136"/>
      <c r="D1365" s="136"/>
      <c r="E1365" s="136"/>
      <c r="F1365" s="131"/>
      <c r="G1365" s="131"/>
      <c r="H1365" s="131"/>
      <c r="I1365" s="131"/>
      <c r="L1365" s="135"/>
    </row>
    <row r="1366" spans="3:12">
      <c r="C1366" s="136"/>
      <c r="D1366" s="136"/>
      <c r="E1366" s="136"/>
      <c r="F1366" s="131"/>
      <c r="G1366" s="131"/>
      <c r="H1366" s="131"/>
      <c r="I1366" s="131"/>
      <c r="L1366" s="135"/>
    </row>
    <row r="1367" spans="3:12">
      <c r="C1367" s="136"/>
      <c r="D1367" s="136"/>
      <c r="E1367" s="136"/>
      <c r="F1367" s="131"/>
      <c r="G1367" s="131"/>
      <c r="H1367" s="131"/>
      <c r="I1367" s="131"/>
      <c r="L1367" s="135"/>
    </row>
    <row r="1368" spans="3:12">
      <c r="C1368" s="136"/>
      <c r="D1368" s="136"/>
      <c r="E1368" s="136"/>
      <c r="F1368" s="131"/>
      <c r="G1368" s="131"/>
      <c r="H1368" s="131"/>
      <c r="I1368" s="131"/>
      <c r="L1368" s="135"/>
    </row>
    <row r="1369" spans="3:12">
      <c r="C1369" s="136"/>
      <c r="D1369" s="136"/>
      <c r="E1369" s="136"/>
      <c r="F1369" s="131"/>
      <c r="G1369" s="131"/>
      <c r="H1369" s="131"/>
      <c r="I1369" s="131"/>
      <c r="L1369" s="135"/>
    </row>
    <row r="1370" spans="3:12">
      <c r="C1370" s="136"/>
      <c r="D1370" s="136"/>
      <c r="E1370" s="136"/>
      <c r="F1370" s="131"/>
      <c r="G1370" s="131"/>
      <c r="H1370" s="131"/>
      <c r="I1370" s="131"/>
      <c r="L1370" s="135"/>
    </row>
    <row r="1371" spans="3:12">
      <c r="C1371" s="136"/>
      <c r="D1371" s="136"/>
      <c r="E1371" s="136"/>
      <c r="F1371" s="131"/>
      <c r="G1371" s="131"/>
      <c r="H1371" s="131"/>
      <c r="I1371" s="131"/>
      <c r="L1371" s="135"/>
    </row>
    <row r="1372" spans="3:12">
      <c r="C1372" s="136"/>
      <c r="D1372" s="136"/>
      <c r="E1372" s="136"/>
      <c r="F1372" s="131"/>
      <c r="G1372" s="131"/>
      <c r="H1372" s="131"/>
      <c r="I1372" s="131"/>
      <c r="L1372" s="135"/>
    </row>
    <row r="1373" spans="3:12">
      <c r="C1373" s="136"/>
      <c r="D1373" s="136"/>
      <c r="E1373" s="136"/>
      <c r="F1373" s="131"/>
      <c r="G1373" s="131"/>
      <c r="H1373" s="131"/>
      <c r="I1373" s="131"/>
      <c r="L1373" s="135"/>
    </row>
    <row r="1374" spans="3:12">
      <c r="C1374" s="136"/>
      <c r="D1374" s="136"/>
      <c r="E1374" s="136"/>
      <c r="F1374" s="131"/>
      <c r="G1374" s="131"/>
      <c r="H1374" s="131"/>
      <c r="I1374" s="131"/>
      <c r="L1374" s="135"/>
    </row>
    <row r="1375" spans="3:12">
      <c r="C1375" s="136"/>
      <c r="D1375" s="136"/>
      <c r="E1375" s="136"/>
      <c r="F1375" s="131"/>
      <c r="G1375" s="131"/>
      <c r="H1375" s="131"/>
      <c r="I1375" s="131"/>
      <c r="L1375" s="135"/>
    </row>
    <row r="1376" spans="3:12">
      <c r="C1376" s="136"/>
      <c r="D1376" s="136"/>
      <c r="E1376" s="136"/>
      <c r="F1376" s="131"/>
      <c r="G1376" s="131"/>
      <c r="H1376" s="131"/>
      <c r="I1376" s="131"/>
      <c r="L1376" s="135"/>
    </row>
    <row r="1377" spans="3:12">
      <c r="C1377" s="136"/>
      <c r="D1377" s="136"/>
      <c r="E1377" s="136"/>
      <c r="F1377" s="131"/>
      <c r="G1377" s="131"/>
      <c r="H1377" s="131"/>
      <c r="I1377" s="131"/>
      <c r="L1377" s="135"/>
    </row>
    <row r="1378" spans="3:12">
      <c r="C1378" s="136"/>
      <c r="D1378" s="136"/>
      <c r="E1378" s="136"/>
      <c r="F1378" s="131"/>
      <c r="G1378" s="131"/>
      <c r="H1378" s="131"/>
      <c r="I1378" s="131"/>
      <c r="L1378" s="135"/>
    </row>
    <row r="1379" spans="3:12">
      <c r="C1379" s="136"/>
      <c r="D1379" s="136"/>
      <c r="E1379" s="136"/>
      <c r="F1379" s="131"/>
      <c r="G1379" s="131"/>
      <c r="H1379" s="131"/>
      <c r="I1379" s="131"/>
      <c r="L1379" s="135"/>
    </row>
    <row r="1380" spans="3:12">
      <c r="C1380" s="136"/>
      <c r="D1380" s="136"/>
      <c r="E1380" s="136"/>
      <c r="F1380" s="131"/>
      <c r="G1380" s="131"/>
      <c r="H1380" s="131"/>
      <c r="I1380" s="131"/>
      <c r="L1380" s="135"/>
    </row>
    <row r="1381" spans="3:12">
      <c r="C1381" s="136"/>
      <c r="D1381" s="136"/>
      <c r="E1381" s="136"/>
      <c r="F1381" s="131"/>
      <c r="G1381" s="131"/>
      <c r="H1381" s="131"/>
      <c r="I1381" s="131"/>
      <c r="L1381" s="135"/>
    </row>
    <row r="1382" spans="3:12">
      <c r="C1382" s="136"/>
      <c r="D1382" s="136"/>
      <c r="E1382" s="136"/>
      <c r="F1382" s="131"/>
      <c r="G1382" s="131"/>
      <c r="H1382" s="131"/>
      <c r="I1382" s="131"/>
      <c r="L1382" s="135"/>
    </row>
    <row r="1383" spans="3:12">
      <c r="C1383" s="136"/>
      <c r="D1383" s="136"/>
      <c r="E1383" s="136"/>
      <c r="F1383" s="131"/>
      <c r="G1383" s="131"/>
      <c r="H1383" s="131"/>
      <c r="I1383" s="131"/>
      <c r="L1383" s="135"/>
    </row>
    <row r="1384" spans="3:12">
      <c r="C1384" s="136"/>
      <c r="D1384" s="136"/>
      <c r="E1384" s="136"/>
      <c r="F1384" s="131"/>
      <c r="G1384" s="131"/>
      <c r="H1384" s="131"/>
      <c r="I1384" s="131"/>
      <c r="L1384" s="135"/>
    </row>
    <row r="1385" spans="3:12">
      <c r="C1385" s="136"/>
      <c r="D1385" s="136"/>
      <c r="E1385" s="136"/>
      <c r="F1385" s="131"/>
      <c r="G1385" s="131"/>
      <c r="H1385" s="131"/>
      <c r="I1385" s="131"/>
      <c r="L1385" s="135"/>
    </row>
    <row r="1386" spans="3:12">
      <c r="C1386" s="136"/>
      <c r="D1386" s="136"/>
      <c r="E1386" s="136"/>
      <c r="F1386" s="131"/>
      <c r="G1386" s="131"/>
      <c r="H1386" s="131"/>
      <c r="I1386" s="131"/>
      <c r="L1386" s="135"/>
    </row>
    <row r="1387" spans="3:12">
      <c r="C1387" s="136"/>
      <c r="D1387" s="136"/>
      <c r="E1387" s="136"/>
      <c r="F1387" s="131"/>
      <c r="G1387" s="131"/>
      <c r="H1387" s="131"/>
      <c r="I1387" s="131"/>
      <c r="L1387" s="135"/>
    </row>
    <row r="1388" spans="3:12">
      <c r="C1388" s="136"/>
      <c r="D1388" s="136"/>
      <c r="E1388" s="136"/>
      <c r="F1388" s="131"/>
      <c r="G1388" s="131"/>
      <c r="H1388" s="131"/>
      <c r="I1388" s="131"/>
      <c r="L1388" s="135"/>
    </row>
    <row r="1389" spans="3:12">
      <c r="C1389" s="136"/>
      <c r="D1389" s="136"/>
      <c r="E1389" s="136"/>
      <c r="F1389" s="131"/>
      <c r="G1389" s="131"/>
      <c r="H1389" s="131"/>
      <c r="I1389" s="131"/>
      <c r="L1389" s="135"/>
    </row>
    <row r="1390" spans="3:12">
      <c r="C1390" s="136"/>
      <c r="D1390" s="136"/>
      <c r="E1390" s="136"/>
      <c r="F1390" s="131"/>
      <c r="G1390" s="131"/>
      <c r="H1390" s="131"/>
      <c r="I1390" s="131"/>
      <c r="L1390" s="135"/>
    </row>
    <row r="1391" spans="3:12">
      <c r="C1391" s="136"/>
      <c r="D1391" s="136"/>
      <c r="E1391" s="136"/>
      <c r="F1391" s="131"/>
      <c r="G1391" s="131"/>
      <c r="H1391" s="131"/>
      <c r="I1391" s="131"/>
      <c r="L1391" s="135"/>
    </row>
    <row r="1392" spans="3:12">
      <c r="C1392" s="136"/>
      <c r="D1392" s="136"/>
      <c r="E1392" s="136"/>
      <c r="F1392" s="131"/>
      <c r="G1392" s="131"/>
      <c r="H1392" s="131"/>
      <c r="I1392" s="131"/>
      <c r="L1392" s="135"/>
    </row>
    <row r="1393" spans="3:12">
      <c r="C1393" s="136"/>
      <c r="D1393" s="136"/>
      <c r="E1393" s="136"/>
      <c r="F1393" s="131"/>
      <c r="G1393" s="131"/>
      <c r="H1393" s="131"/>
      <c r="I1393" s="131"/>
      <c r="L1393" s="135"/>
    </row>
    <row r="1394" spans="3:12">
      <c r="C1394" s="136"/>
      <c r="D1394" s="136"/>
      <c r="E1394" s="136"/>
      <c r="F1394" s="131"/>
      <c r="G1394" s="131"/>
      <c r="H1394" s="131"/>
      <c r="I1394" s="131"/>
      <c r="L1394" s="135"/>
    </row>
    <row r="1395" spans="3:12">
      <c r="C1395" s="136"/>
      <c r="D1395" s="136"/>
      <c r="E1395" s="136"/>
      <c r="F1395" s="131"/>
      <c r="G1395" s="131"/>
      <c r="H1395" s="131"/>
      <c r="I1395" s="131"/>
      <c r="L1395" s="135"/>
    </row>
    <row r="1396" spans="3:12">
      <c r="C1396" s="136"/>
      <c r="D1396" s="136"/>
      <c r="E1396" s="136"/>
      <c r="F1396" s="131"/>
      <c r="G1396" s="131"/>
      <c r="H1396" s="131"/>
      <c r="I1396" s="131"/>
      <c r="L1396" s="135"/>
    </row>
    <row r="1397" spans="3:12">
      <c r="C1397" s="136"/>
      <c r="D1397" s="136"/>
      <c r="E1397" s="136"/>
      <c r="F1397" s="131"/>
      <c r="G1397" s="131"/>
      <c r="H1397" s="131"/>
      <c r="I1397" s="131"/>
      <c r="L1397" s="135"/>
    </row>
    <row r="1398" spans="3:12">
      <c r="C1398" s="136"/>
      <c r="D1398" s="136"/>
      <c r="E1398" s="136"/>
      <c r="F1398" s="131"/>
      <c r="G1398" s="131"/>
      <c r="H1398" s="131"/>
      <c r="I1398" s="131"/>
      <c r="L1398" s="135"/>
    </row>
    <row r="1399" spans="3:12">
      <c r="C1399" s="136"/>
      <c r="D1399" s="136"/>
      <c r="E1399" s="136"/>
      <c r="F1399" s="131"/>
      <c r="G1399" s="131"/>
      <c r="H1399" s="131"/>
      <c r="I1399" s="131"/>
      <c r="L1399" s="135"/>
    </row>
    <row r="1400" spans="3:12">
      <c r="C1400" s="136"/>
      <c r="D1400" s="136"/>
      <c r="E1400" s="136"/>
      <c r="F1400" s="131"/>
      <c r="G1400" s="131"/>
      <c r="H1400" s="131"/>
      <c r="I1400" s="131"/>
      <c r="L1400" s="135"/>
    </row>
    <row r="1401" spans="3:12">
      <c r="C1401" s="136"/>
      <c r="D1401" s="136"/>
      <c r="E1401" s="136"/>
      <c r="F1401" s="131"/>
      <c r="G1401" s="131"/>
      <c r="H1401" s="131"/>
      <c r="I1401" s="131"/>
      <c r="L1401" s="135"/>
    </row>
    <row r="1402" spans="3:12">
      <c r="C1402" s="136"/>
      <c r="D1402" s="136"/>
      <c r="E1402" s="136"/>
      <c r="F1402" s="131"/>
      <c r="G1402" s="131"/>
      <c r="H1402" s="131"/>
      <c r="I1402" s="131"/>
      <c r="L1402" s="135"/>
    </row>
    <row r="1403" spans="3:12">
      <c r="C1403" s="136"/>
      <c r="D1403" s="136"/>
      <c r="E1403" s="136"/>
      <c r="F1403" s="131"/>
      <c r="G1403" s="131"/>
      <c r="H1403" s="131"/>
      <c r="I1403" s="131"/>
      <c r="L1403" s="135"/>
    </row>
    <row r="1404" spans="3:12">
      <c r="C1404" s="136"/>
      <c r="D1404" s="136"/>
      <c r="E1404" s="136"/>
      <c r="F1404" s="131"/>
      <c r="G1404" s="131"/>
      <c r="H1404" s="131"/>
      <c r="I1404" s="131"/>
      <c r="L1404" s="135"/>
    </row>
    <row r="1405" spans="3:12">
      <c r="C1405" s="136"/>
      <c r="D1405" s="136"/>
      <c r="E1405" s="136"/>
      <c r="F1405" s="131"/>
      <c r="G1405" s="131"/>
      <c r="H1405" s="131"/>
      <c r="I1405" s="131"/>
      <c r="L1405" s="135"/>
    </row>
    <row r="1406" spans="3:12">
      <c r="C1406" s="136"/>
      <c r="D1406" s="136"/>
      <c r="E1406" s="136"/>
      <c r="F1406" s="131"/>
      <c r="G1406" s="131"/>
      <c r="H1406" s="131"/>
      <c r="I1406" s="131"/>
      <c r="L1406" s="135"/>
    </row>
    <row r="1407" spans="3:12">
      <c r="C1407" s="136"/>
      <c r="D1407" s="136"/>
      <c r="E1407" s="136"/>
      <c r="F1407" s="131"/>
      <c r="G1407" s="131"/>
      <c r="H1407" s="131"/>
      <c r="I1407" s="131"/>
      <c r="L1407" s="135"/>
    </row>
    <row r="1408" spans="3:12">
      <c r="C1408" s="136"/>
      <c r="D1408" s="136"/>
      <c r="E1408" s="136"/>
      <c r="F1408" s="131"/>
      <c r="G1408" s="131"/>
      <c r="H1408" s="131"/>
      <c r="I1408" s="131"/>
      <c r="L1408" s="135"/>
    </row>
    <row r="1409" spans="3:12">
      <c r="C1409" s="136"/>
      <c r="D1409" s="136"/>
      <c r="E1409" s="136"/>
      <c r="F1409" s="131"/>
      <c r="G1409" s="131"/>
      <c r="H1409" s="131"/>
      <c r="I1409" s="131"/>
      <c r="L1409" s="135"/>
    </row>
    <row r="1410" spans="3:12">
      <c r="C1410" s="136"/>
      <c r="D1410" s="136"/>
      <c r="E1410" s="136"/>
      <c r="F1410" s="131"/>
      <c r="G1410" s="131"/>
      <c r="H1410" s="131"/>
      <c r="I1410" s="131"/>
      <c r="L1410" s="135"/>
    </row>
    <row r="1411" spans="3:12">
      <c r="C1411" s="136"/>
      <c r="D1411" s="136"/>
      <c r="E1411" s="136"/>
      <c r="F1411" s="131"/>
      <c r="G1411" s="131"/>
      <c r="H1411" s="131"/>
      <c r="I1411" s="131"/>
      <c r="L1411" s="135"/>
    </row>
    <row r="1412" spans="3:12">
      <c r="C1412" s="136"/>
      <c r="D1412" s="136"/>
      <c r="E1412" s="136"/>
      <c r="F1412" s="131"/>
      <c r="G1412" s="131"/>
      <c r="H1412" s="131"/>
      <c r="I1412" s="131"/>
      <c r="L1412" s="135"/>
    </row>
    <row r="1413" spans="3:12">
      <c r="C1413" s="136"/>
      <c r="D1413" s="136"/>
      <c r="E1413" s="136"/>
      <c r="F1413" s="131"/>
      <c r="G1413" s="131"/>
      <c r="H1413" s="131"/>
      <c r="I1413" s="131"/>
      <c r="L1413" s="135"/>
    </row>
    <row r="1414" spans="3:12">
      <c r="C1414" s="136"/>
      <c r="D1414" s="136"/>
      <c r="E1414" s="136"/>
      <c r="F1414" s="131"/>
      <c r="G1414" s="131"/>
      <c r="H1414" s="131"/>
      <c r="I1414" s="131"/>
      <c r="L1414" s="135"/>
    </row>
    <row r="1415" spans="3:12">
      <c r="C1415" s="136"/>
      <c r="D1415" s="136"/>
      <c r="E1415" s="136"/>
      <c r="F1415" s="131"/>
      <c r="G1415" s="131"/>
      <c r="H1415" s="131"/>
      <c r="I1415" s="131"/>
      <c r="L1415" s="135"/>
    </row>
    <row r="1416" spans="3:12">
      <c r="C1416" s="136"/>
      <c r="D1416" s="136"/>
      <c r="E1416" s="136"/>
      <c r="F1416" s="131"/>
      <c r="G1416" s="131"/>
      <c r="H1416" s="131"/>
      <c r="I1416" s="131"/>
      <c r="L1416" s="135"/>
    </row>
    <row r="1417" spans="3:12">
      <c r="C1417" s="136"/>
      <c r="D1417" s="136"/>
      <c r="E1417" s="136"/>
      <c r="F1417" s="131"/>
      <c r="G1417" s="131"/>
      <c r="H1417" s="131"/>
      <c r="I1417" s="131"/>
      <c r="L1417" s="135"/>
    </row>
    <row r="1418" spans="3:12">
      <c r="C1418" s="136"/>
      <c r="D1418" s="136"/>
      <c r="E1418" s="136"/>
      <c r="F1418" s="131"/>
      <c r="G1418" s="131"/>
      <c r="H1418" s="131"/>
      <c r="I1418" s="131"/>
      <c r="L1418" s="135"/>
    </row>
    <row r="1419" spans="3:12">
      <c r="C1419" s="136"/>
      <c r="D1419" s="136"/>
      <c r="E1419" s="136"/>
      <c r="F1419" s="131"/>
      <c r="G1419" s="131"/>
      <c r="H1419" s="131"/>
      <c r="I1419" s="131"/>
      <c r="L1419" s="135"/>
    </row>
    <row r="1420" spans="3:12">
      <c r="C1420" s="136"/>
      <c r="D1420" s="136"/>
      <c r="E1420" s="136"/>
      <c r="F1420" s="131"/>
      <c r="G1420" s="131"/>
      <c r="H1420" s="131"/>
      <c r="I1420" s="131"/>
      <c r="L1420" s="135"/>
    </row>
    <row r="1421" spans="3:12">
      <c r="C1421" s="136"/>
      <c r="D1421" s="136"/>
      <c r="E1421" s="136"/>
      <c r="F1421" s="131"/>
      <c r="G1421" s="131"/>
      <c r="H1421" s="131"/>
      <c r="I1421" s="131"/>
      <c r="L1421" s="135"/>
    </row>
    <row r="1422" spans="3:12">
      <c r="C1422" s="136"/>
      <c r="D1422" s="136"/>
      <c r="E1422" s="136"/>
      <c r="F1422" s="131"/>
      <c r="G1422" s="131"/>
      <c r="H1422" s="131"/>
      <c r="I1422" s="131"/>
      <c r="L1422" s="135"/>
    </row>
    <row r="1423" spans="3:12">
      <c r="C1423" s="136"/>
      <c r="D1423" s="136"/>
      <c r="E1423" s="136"/>
      <c r="F1423" s="131"/>
      <c r="G1423" s="131"/>
      <c r="H1423" s="131"/>
      <c r="I1423" s="131"/>
      <c r="L1423" s="135"/>
    </row>
    <row r="1424" spans="3:12">
      <c r="C1424" s="136"/>
      <c r="D1424" s="136"/>
      <c r="E1424" s="136"/>
      <c r="F1424" s="131"/>
      <c r="G1424" s="131"/>
      <c r="H1424" s="131"/>
      <c r="I1424" s="131"/>
      <c r="L1424" s="135"/>
    </row>
    <row r="1425" spans="3:12">
      <c r="C1425" s="136"/>
      <c r="D1425" s="136"/>
      <c r="E1425" s="136"/>
      <c r="F1425" s="131"/>
      <c r="G1425" s="131"/>
      <c r="H1425" s="131"/>
      <c r="I1425" s="131"/>
      <c r="L1425" s="135"/>
    </row>
    <row r="1426" spans="3:12">
      <c r="C1426" s="136"/>
      <c r="D1426" s="136"/>
      <c r="E1426" s="136"/>
      <c r="F1426" s="131"/>
      <c r="G1426" s="131"/>
      <c r="H1426" s="131"/>
      <c r="I1426" s="131"/>
      <c r="L1426" s="135"/>
    </row>
    <row r="1427" spans="3:12">
      <c r="C1427" s="136"/>
      <c r="D1427" s="136"/>
      <c r="E1427" s="136"/>
      <c r="F1427" s="131"/>
      <c r="G1427" s="131"/>
      <c r="H1427" s="131"/>
      <c r="I1427" s="131"/>
      <c r="L1427" s="135"/>
    </row>
    <row r="1428" spans="3:12">
      <c r="C1428" s="136"/>
      <c r="D1428" s="136"/>
      <c r="E1428" s="136"/>
      <c r="F1428" s="131"/>
      <c r="G1428" s="131"/>
      <c r="H1428" s="131"/>
      <c r="I1428" s="131"/>
      <c r="L1428" s="135"/>
    </row>
    <row r="1429" spans="3:12">
      <c r="C1429" s="136"/>
      <c r="D1429" s="136"/>
      <c r="E1429" s="136"/>
      <c r="F1429" s="131"/>
      <c r="G1429" s="131"/>
      <c r="H1429" s="131"/>
      <c r="I1429" s="131"/>
      <c r="L1429" s="135"/>
    </row>
    <row r="1430" spans="3:12">
      <c r="C1430" s="136"/>
      <c r="D1430" s="136"/>
      <c r="E1430" s="136"/>
      <c r="F1430" s="131"/>
      <c r="G1430" s="131"/>
      <c r="H1430" s="131"/>
      <c r="I1430" s="131"/>
      <c r="L1430" s="135"/>
    </row>
    <row r="1431" spans="3:12">
      <c r="C1431" s="136"/>
      <c r="D1431" s="136"/>
      <c r="E1431" s="136"/>
      <c r="F1431" s="131"/>
      <c r="G1431" s="131"/>
      <c r="H1431" s="131"/>
      <c r="I1431" s="131"/>
      <c r="L1431" s="135"/>
    </row>
    <row r="1432" spans="3:12">
      <c r="C1432" s="136"/>
      <c r="D1432" s="136"/>
      <c r="E1432" s="136"/>
      <c r="F1432" s="131"/>
      <c r="G1432" s="131"/>
      <c r="H1432" s="131"/>
      <c r="I1432" s="131"/>
      <c r="L1432" s="135"/>
    </row>
    <row r="1433" spans="3:12">
      <c r="C1433" s="136"/>
      <c r="D1433" s="136"/>
      <c r="E1433" s="136"/>
      <c r="F1433" s="131"/>
      <c r="G1433" s="131"/>
      <c r="H1433" s="131"/>
      <c r="I1433" s="131"/>
      <c r="L1433" s="135"/>
    </row>
    <row r="1434" spans="3:12">
      <c r="C1434" s="136"/>
      <c r="D1434" s="136"/>
      <c r="E1434" s="136"/>
      <c r="F1434" s="131"/>
      <c r="G1434" s="131"/>
      <c r="H1434" s="131"/>
      <c r="I1434" s="131"/>
      <c r="L1434" s="135"/>
    </row>
    <row r="1435" spans="3:12">
      <c r="C1435" s="136"/>
      <c r="D1435" s="136"/>
      <c r="E1435" s="136"/>
      <c r="F1435" s="131"/>
      <c r="G1435" s="131"/>
      <c r="H1435" s="131"/>
      <c r="I1435" s="131"/>
      <c r="L1435" s="135"/>
    </row>
    <row r="1436" spans="3:12">
      <c r="C1436" s="136"/>
      <c r="D1436" s="136"/>
      <c r="E1436" s="136"/>
      <c r="F1436" s="131"/>
      <c r="G1436" s="131"/>
      <c r="H1436" s="131"/>
      <c r="I1436" s="131"/>
      <c r="L1436" s="135"/>
    </row>
    <row r="1437" spans="3:12">
      <c r="C1437" s="136"/>
      <c r="D1437" s="136"/>
      <c r="E1437" s="136"/>
      <c r="F1437" s="131"/>
      <c r="G1437" s="131"/>
      <c r="H1437" s="131"/>
      <c r="I1437" s="131"/>
      <c r="L1437" s="135"/>
    </row>
    <row r="1438" spans="3:12">
      <c r="C1438" s="136"/>
      <c r="D1438" s="136"/>
      <c r="E1438" s="136"/>
      <c r="F1438" s="131"/>
      <c r="G1438" s="131"/>
      <c r="H1438" s="131"/>
      <c r="I1438" s="131"/>
      <c r="L1438" s="135"/>
    </row>
    <row r="1439" spans="3:12">
      <c r="C1439" s="136"/>
      <c r="D1439" s="136"/>
      <c r="E1439" s="136"/>
      <c r="F1439" s="131"/>
      <c r="G1439" s="131"/>
      <c r="H1439" s="131"/>
      <c r="I1439" s="131"/>
      <c r="L1439" s="135"/>
    </row>
    <row r="1440" spans="3:12">
      <c r="C1440" s="136"/>
      <c r="D1440" s="136"/>
      <c r="E1440" s="136"/>
      <c r="F1440" s="131"/>
      <c r="G1440" s="131"/>
      <c r="H1440" s="131"/>
      <c r="I1440" s="131"/>
      <c r="L1440" s="135"/>
    </row>
    <row r="1441" spans="3:12">
      <c r="C1441" s="136"/>
      <c r="D1441" s="136"/>
      <c r="E1441" s="136"/>
      <c r="F1441" s="131"/>
      <c r="G1441" s="131"/>
      <c r="H1441" s="131"/>
      <c r="I1441" s="131"/>
      <c r="L1441" s="135"/>
    </row>
    <row r="1442" spans="3:12">
      <c r="C1442" s="136"/>
      <c r="D1442" s="136"/>
      <c r="E1442" s="136"/>
      <c r="F1442" s="131"/>
      <c r="G1442" s="131"/>
      <c r="H1442" s="131"/>
      <c r="I1442" s="131"/>
      <c r="L1442" s="135"/>
    </row>
    <row r="1443" spans="3:12">
      <c r="C1443" s="136"/>
      <c r="D1443" s="136"/>
      <c r="E1443" s="136"/>
      <c r="F1443" s="131"/>
      <c r="G1443" s="131"/>
      <c r="H1443" s="131"/>
      <c r="I1443" s="131"/>
      <c r="L1443" s="135"/>
    </row>
    <row r="1444" spans="3:12">
      <c r="C1444" s="136"/>
      <c r="D1444" s="136"/>
      <c r="E1444" s="136"/>
      <c r="F1444" s="131"/>
      <c r="G1444" s="131"/>
      <c r="H1444" s="131"/>
      <c r="I1444" s="131"/>
      <c r="L1444" s="135"/>
    </row>
    <row r="1445" spans="3:12">
      <c r="C1445" s="136"/>
      <c r="D1445" s="136"/>
      <c r="E1445" s="136"/>
      <c r="F1445" s="131"/>
      <c r="G1445" s="131"/>
      <c r="H1445" s="131"/>
      <c r="I1445" s="131"/>
      <c r="L1445" s="135"/>
    </row>
    <row r="1446" spans="3:12">
      <c r="C1446" s="136"/>
      <c r="D1446" s="136"/>
      <c r="E1446" s="136"/>
      <c r="F1446" s="131"/>
      <c r="G1446" s="131"/>
      <c r="H1446" s="131"/>
      <c r="I1446" s="131"/>
      <c r="L1446" s="135"/>
    </row>
    <row r="1447" spans="3:12">
      <c r="C1447" s="136"/>
      <c r="D1447" s="136"/>
      <c r="E1447" s="136"/>
      <c r="F1447" s="131"/>
      <c r="G1447" s="131"/>
      <c r="H1447" s="131"/>
      <c r="I1447" s="131"/>
      <c r="L1447" s="135"/>
    </row>
    <row r="1448" spans="3:12">
      <c r="C1448" s="136"/>
      <c r="D1448" s="136"/>
      <c r="E1448" s="136"/>
      <c r="F1448" s="131"/>
      <c r="G1448" s="131"/>
      <c r="H1448" s="131"/>
      <c r="I1448" s="131"/>
      <c r="L1448" s="135"/>
    </row>
    <row r="1449" spans="3:12">
      <c r="C1449" s="136"/>
      <c r="D1449" s="136"/>
      <c r="E1449" s="136"/>
      <c r="F1449" s="131"/>
      <c r="G1449" s="131"/>
      <c r="H1449" s="131"/>
      <c r="I1449" s="131"/>
      <c r="L1449" s="135"/>
    </row>
    <row r="1450" spans="3:12">
      <c r="C1450" s="136"/>
      <c r="D1450" s="136"/>
      <c r="E1450" s="136"/>
      <c r="F1450" s="131"/>
      <c r="G1450" s="131"/>
      <c r="H1450" s="131"/>
      <c r="I1450" s="131"/>
      <c r="L1450" s="135"/>
    </row>
    <row r="1451" spans="3:12">
      <c r="C1451" s="136"/>
      <c r="D1451" s="136"/>
      <c r="E1451" s="136"/>
      <c r="F1451" s="131"/>
      <c r="G1451" s="131"/>
      <c r="H1451" s="131"/>
      <c r="I1451" s="131"/>
      <c r="L1451" s="135"/>
    </row>
    <row r="1452" spans="3:12">
      <c r="C1452" s="136"/>
      <c r="D1452" s="136"/>
      <c r="E1452" s="136"/>
      <c r="F1452" s="131"/>
      <c r="G1452" s="131"/>
      <c r="H1452" s="131"/>
      <c r="I1452" s="131"/>
      <c r="L1452" s="135"/>
    </row>
    <row r="1453" spans="3:12">
      <c r="C1453" s="136"/>
      <c r="D1453" s="136"/>
      <c r="E1453" s="136"/>
      <c r="F1453" s="131"/>
      <c r="G1453" s="131"/>
      <c r="H1453" s="131"/>
      <c r="I1453" s="131"/>
      <c r="L1453" s="135"/>
    </row>
    <row r="1454" spans="3:12">
      <c r="C1454" s="136"/>
      <c r="D1454" s="136"/>
      <c r="E1454" s="136"/>
      <c r="F1454" s="131"/>
      <c r="G1454" s="131"/>
      <c r="H1454" s="131"/>
      <c r="I1454" s="131"/>
      <c r="L1454" s="135"/>
    </row>
    <row r="1455" spans="3:12">
      <c r="C1455" s="136"/>
      <c r="D1455" s="136"/>
      <c r="E1455" s="136"/>
      <c r="F1455" s="131"/>
      <c r="G1455" s="131"/>
      <c r="H1455" s="131"/>
      <c r="I1455" s="131"/>
      <c r="L1455" s="135"/>
    </row>
    <row r="1456" spans="3:12">
      <c r="C1456" s="136"/>
      <c r="D1456" s="136"/>
      <c r="E1456" s="136"/>
      <c r="F1456" s="131"/>
      <c r="G1456" s="131"/>
      <c r="H1456" s="131"/>
      <c r="I1456" s="131"/>
      <c r="L1456" s="135"/>
    </row>
    <row r="1457" spans="3:12">
      <c r="C1457" s="136"/>
      <c r="D1457" s="136"/>
      <c r="E1457" s="136"/>
      <c r="F1457" s="131"/>
      <c r="G1457" s="131"/>
      <c r="H1457" s="131"/>
      <c r="I1457" s="131"/>
      <c r="L1457" s="135"/>
    </row>
    <row r="1458" spans="3:12">
      <c r="C1458" s="136"/>
      <c r="D1458" s="136"/>
      <c r="E1458" s="136"/>
      <c r="F1458" s="131"/>
      <c r="G1458" s="131"/>
      <c r="H1458" s="131"/>
      <c r="I1458" s="131"/>
      <c r="L1458" s="135"/>
    </row>
    <row r="1459" spans="3:12">
      <c r="C1459" s="136"/>
      <c r="D1459" s="136"/>
      <c r="E1459" s="136"/>
      <c r="F1459" s="131"/>
      <c r="G1459" s="131"/>
      <c r="H1459" s="131"/>
      <c r="I1459" s="131"/>
      <c r="L1459" s="135"/>
    </row>
    <row r="1460" spans="3:12">
      <c r="C1460" s="136"/>
      <c r="D1460" s="136"/>
      <c r="E1460" s="136"/>
      <c r="F1460" s="131"/>
      <c r="G1460" s="131"/>
      <c r="H1460" s="131"/>
      <c r="I1460" s="131"/>
      <c r="L1460" s="135"/>
    </row>
    <row r="1461" spans="3:12">
      <c r="C1461" s="136"/>
      <c r="D1461" s="136"/>
      <c r="E1461" s="136"/>
      <c r="F1461" s="131"/>
      <c r="G1461" s="131"/>
      <c r="H1461" s="131"/>
      <c r="I1461" s="131"/>
      <c r="L1461" s="135"/>
    </row>
    <row r="1462" spans="3:12">
      <c r="C1462" s="136"/>
      <c r="D1462" s="136"/>
      <c r="E1462" s="136"/>
      <c r="F1462" s="131"/>
      <c r="G1462" s="131"/>
      <c r="H1462" s="131"/>
      <c r="I1462" s="131"/>
      <c r="L1462" s="135"/>
    </row>
    <row r="1463" spans="3:12">
      <c r="C1463" s="136"/>
      <c r="D1463" s="136"/>
      <c r="E1463" s="136"/>
      <c r="F1463" s="131"/>
      <c r="G1463" s="131"/>
      <c r="H1463" s="131"/>
      <c r="I1463" s="131"/>
      <c r="L1463" s="135"/>
    </row>
    <row r="1464" spans="3:12">
      <c r="C1464" s="136"/>
      <c r="D1464" s="136"/>
      <c r="E1464" s="136"/>
      <c r="F1464" s="131"/>
      <c r="G1464" s="131"/>
      <c r="H1464" s="131"/>
      <c r="I1464" s="131"/>
      <c r="L1464" s="135"/>
    </row>
    <row r="1465" spans="3:12">
      <c r="C1465" s="136"/>
      <c r="D1465" s="136"/>
      <c r="E1465" s="136"/>
      <c r="F1465" s="131"/>
      <c r="G1465" s="131"/>
      <c r="H1465" s="131"/>
      <c r="I1465" s="131"/>
      <c r="L1465" s="135"/>
    </row>
    <row r="1466" spans="3:12">
      <c r="C1466" s="136"/>
      <c r="D1466" s="136"/>
      <c r="E1466" s="136"/>
      <c r="F1466" s="131"/>
      <c r="G1466" s="131"/>
      <c r="H1466" s="131"/>
      <c r="I1466" s="131"/>
      <c r="L1466" s="135"/>
    </row>
    <row r="1467" spans="3:12">
      <c r="C1467" s="136"/>
      <c r="D1467" s="136"/>
      <c r="E1467" s="136"/>
      <c r="F1467" s="131"/>
      <c r="G1467" s="131"/>
      <c r="H1467" s="131"/>
      <c r="I1467" s="131"/>
      <c r="L1467" s="135"/>
    </row>
    <row r="1468" spans="3:12">
      <c r="C1468" s="136"/>
      <c r="D1468" s="136"/>
      <c r="E1468" s="136"/>
      <c r="F1468" s="131"/>
      <c r="G1468" s="131"/>
      <c r="H1468" s="131"/>
      <c r="I1468" s="131"/>
      <c r="L1468" s="135"/>
    </row>
    <row r="1469" spans="3:12">
      <c r="C1469" s="136"/>
      <c r="D1469" s="136"/>
      <c r="E1469" s="136"/>
      <c r="F1469" s="131"/>
      <c r="G1469" s="131"/>
      <c r="H1469" s="131"/>
      <c r="I1469" s="131"/>
      <c r="L1469" s="135"/>
    </row>
    <row r="1470" spans="3:12">
      <c r="C1470" s="136"/>
      <c r="D1470" s="136"/>
      <c r="E1470" s="136"/>
      <c r="F1470" s="131"/>
      <c r="G1470" s="131"/>
      <c r="H1470" s="131"/>
      <c r="I1470" s="131"/>
      <c r="L1470" s="135"/>
    </row>
    <row r="1471" spans="3:12">
      <c r="C1471" s="136"/>
      <c r="D1471" s="136"/>
      <c r="E1471" s="136"/>
      <c r="F1471" s="131"/>
      <c r="G1471" s="131"/>
      <c r="H1471" s="131"/>
      <c r="I1471" s="131"/>
      <c r="L1471" s="135"/>
    </row>
    <row r="1472" spans="3:12">
      <c r="C1472" s="136"/>
      <c r="D1472" s="136"/>
      <c r="E1472" s="136"/>
      <c r="F1472" s="131"/>
      <c r="G1472" s="131"/>
      <c r="H1472" s="131"/>
      <c r="I1472" s="131"/>
      <c r="L1472" s="135"/>
    </row>
    <row r="1473" spans="3:12">
      <c r="C1473" s="136"/>
      <c r="D1473" s="136"/>
      <c r="E1473" s="136"/>
      <c r="F1473" s="131"/>
      <c r="G1473" s="131"/>
      <c r="H1473" s="131"/>
      <c r="I1473" s="131"/>
      <c r="L1473" s="135"/>
    </row>
    <row r="1474" spans="3:12">
      <c r="C1474" s="136"/>
      <c r="D1474" s="136"/>
      <c r="E1474" s="136"/>
      <c r="F1474" s="131"/>
      <c r="G1474" s="131"/>
      <c r="H1474" s="131"/>
      <c r="I1474" s="131"/>
      <c r="L1474" s="135"/>
    </row>
    <row r="1475" spans="3:12">
      <c r="C1475" s="136"/>
      <c r="D1475" s="136"/>
      <c r="E1475" s="136"/>
      <c r="F1475" s="131"/>
      <c r="G1475" s="131"/>
      <c r="H1475" s="131"/>
      <c r="I1475" s="131"/>
      <c r="L1475" s="135"/>
    </row>
    <row r="1476" spans="3:12">
      <c r="C1476" s="136"/>
      <c r="D1476" s="136"/>
      <c r="E1476" s="136"/>
      <c r="F1476" s="131"/>
      <c r="G1476" s="131"/>
      <c r="H1476" s="131"/>
      <c r="I1476" s="131"/>
      <c r="L1476" s="135"/>
    </row>
    <row r="1477" spans="3:12">
      <c r="C1477" s="136"/>
      <c r="D1477" s="136"/>
      <c r="E1477" s="136"/>
      <c r="F1477" s="131"/>
      <c r="G1477" s="131"/>
      <c r="H1477" s="131"/>
      <c r="I1477" s="131"/>
      <c r="L1477" s="135"/>
    </row>
    <row r="1478" spans="3:12">
      <c r="C1478" s="136"/>
      <c r="D1478" s="136"/>
      <c r="E1478" s="136"/>
      <c r="F1478" s="131"/>
      <c r="G1478" s="131"/>
      <c r="H1478" s="131"/>
      <c r="I1478" s="131"/>
      <c r="L1478" s="135"/>
    </row>
    <row r="1479" spans="3:12">
      <c r="C1479" s="136"/>
      <c r="D1479" s="136"/>
      <c r="E1479" s="136"/>
      <c r="F1479" s="131"/>
      <c r="G1479" s="131"/>
      <c r="H1479" s="131"/>
      <c r="I1479" s="131"/>
      <c r="L1479" s="135"/>
    </row>
    <row r="1480" spans="3:12">
      <c r="C1480" s="136"/>
      <c r="D1480" s="136"/>
      <c r="E1480" s="136"/>
      <c r="F1480" s="131"/>
      <c r="G1480" s="131"/>
      <c r="H1480" s="131"/>
      <c r="I1480" s="131"/>
      <c r="L1480" s="135"/>
    </row>
    <row r="1481" spans="3:12">
      <c r="C1481" s="136"/>
      <c r="D1481" s="136"/>
      <c r="E1481" s="136"/>
      <c r="F1481" s="131"/>
      <c r="G1481" s="131"/>
      <c r="H1481" s="131"/>
      <c r="I1481" s="131"/>
      <c r="L1481" s="135"/>
    </row>
    <row r="1482" spans="3:12">
      <c r="C1482" s="136"/>
      <c r="D1482" s="136"/>
      <c r="E1482" s="136"/>
      <c r="F1482" s="131"/>
      <c r="G1482" s="131"/>
      <c r="H1482" s="131"/>
      <c r="I1482" s="131"/>
      <c r="L1482" s="135"/>
    </row>
    <row r="1483" spans="3:12">
      <c r="C1483" s="136"/>
      <c r="D1483" s="136"/>
      <c r="E1483" s="136"/>
      <c r="F1483" s="131"/>
      <c r="G1483" s="131"/>
      <c r="H1483" s="131"/>
      <c r="I1483" s="131"/>
      <c r="L1483" s="135"/>
    </row>
    <row r="1484" spans="3:12">
      <c r="C1484" s="136"/>
      <c r="D1484" s="136"/>
      <c r="E1484" s="136"/>
      <c r="F1484" s="131"/>
      <c r="G1484" s="131"/>
      <c r="H1484" s="131"/>
      <c r="I1484" s="131"/>
      <c r="L1484" s="135"/>
    </row>
    <row r="1485" spans="3:12">
      <c r="C1485" s="136"/>
      <c r="D1485" s="136"/>
      <c r="E1485" s="136"/>
      <c r="F1485" s="131"/>
      <c r="G1485" s="131"/>
      <c r="H1485" s="131"/>
      <c r="I1485" s="131"/>
      <c r="L1485" s="135"/>
    </row>
    <row r="1486" spans="3:12">
      <c r="C1486" s="136"/>
      <c r="D1486" s="136"/>
      <c r="E1486" s="136"/>
      <c r="F1486" s="131"/>
      <c r="G1486" s="131"/>
      <c r="H1486" s="131"/>
      <c r="I1486" s="131"/>
      <c r="L1486" s="135"/>
    </row>
    <row r="1487" spans="3:12">
      <c r="C1487" s="136"/>
      <c r="D1487" s="136"/>
      <c r="E1487" s="136"/>
      <c r="F1487" s="131"/>
      <c r="G1487" s="131"/>
      <c r="H1487" s="131"/>
      <c r="I1487" s="131"/>
      <c r="L1487" s="135"/>
    </row>
    <row r="1488" spans="3:12">
      <c r="C1488" s="136"/>
      <c r="D1488" s="136"/>
      <c r="E1488" s="136"/>
      <c r="F1488" s="131"/>
      <c r="G1488" s="131"/>
      <c r="H1488" s="131"/>
      <c r="I1488" s="131"/>
      <c r="L1488" s="135"/>
    </row>
    <row r="1489" spans="3:12">
      <c r="C1489" s="136"/>
      <c r="D1489" s="136"/>
      <c r="E1489" s="136"/>
      <c r="F1489" s="131"/>
      <c r="G1489" s="131"/>
      <c r="H1489" s="131"/>
      <c r="I1489" s="131"/>
      <c r="L1489" s="135"/>
    </row>
    <row r="1490" spans="3:12">
      <c r="C1490" s="136"/>
      <c r="D1490" s="136"/>
      <c r="E1490" s="136"/>
      <c r="F1490" s="131"/>
      <c r="G1490" s="131"/>
      <c r="H1490" s="131"/>
      <c r="I1490" s="131"/>
      <c r="L1490" s="135"/>
    </row>
    <row r="1491" spans="3:12">
      <c r="C1491" s="136"/>
      <c r="D1491" s="136"/>
      <c r="E1491" s="136"/>
      <c r="F1491" s="131"/>
      <c r="G1491" s="131"/>
      <c r="H1491" s="131"/>
      <c r="I1491" s="131"/>
      <c r="L1491" s="135"/>
    </row>
    <row r="1492" spans="3:12">
      <c r="C1492" s="136"/>
      <c r="D1492" s="136"/>
      <c r="E1492" s="136"/>
      <c r="F1492" s="131"/>
      <c r="G1492" s="131"/>
      <c r="H1492" s="131"/>
      <c r="I1492" s="131"/>
      <c r="L1492" s="135"/>
    </row>
    <row r="1493" spans="3:12">
      <c r="C1493" s="136"/>
      <c r="D1493" s="136"/>
      <c r="E1493" s="136"/>
      <c r="F1493" s="131"/>
      <c r="G1493" s="131"/>
      <c r="H1493" s="131"/>
      <c r="I1493" s="131"/>
      <c r="L1493" s="135"/>
    </row>
    <row r="1494" spans="3:12">
      <c r="C1494" s="136"/>
      <c r="D1494" s="136"/>
      <c r="E1494" s="136"/>
      <c r="F1494" s="131"/>
      <c r="G1494" s="131"/>
      <c r="H1494" s="131"/>
      <c r="I1494" s="131"/>
      <c r="L1494" s="135"/>
    </row>
    <row r="1495" spans="3:12">
      <c r="C1495" s="136"/>
      <c r="D1495" s="136"/>
      <c r="E1495" s="136"/>
      <c r="F1495" s="131"/>
      <c r="G1495" s="131"/>
      <c r="H1495" s="131"/>
      <c r="I1495" s="131"/>
      <c r="L1495" s="135"/>
    </row>
    <row r="1496" spans="3:12">
      <c r="C1496" s="136"/>
      <c r="D1496" s="136"/>
      <c r="E1496" s="136"/>
      <c r="F1496" s="131"/>
      <c r="G1496" s="131"/>
      <c r="H1496" s="131"/>
      <c r="I1496" s="131"/>
      <c r="L1496" s="135"/>
    </row>
    <row r="1497" spans="3:12">
      <c r="C1497" s="136"/>
      <c r="D1497" s="136"/>
      <c r="E1497" s="136"/>
      <c r="F1497" s="131"/>
      <c r="G1497" s="131"/>
      <c r="H1497" s="131"/>
      <c r="I1497" s="131"/>
      <c r="L1497" s="135"/>
    </row>
    <row r="1498" spans="3:12">
      <c r="C1498" s="136"/>
      <c r="D1498" s="136"/>
      <c r="E1498" s="136"/>
      <c r="F1498" s="131"/>
      <c r="G1498" s="131"/>
      <c r="H1498" s="131"/>
      <c r="I1498" s="131"/>
      <c r="L1498" s="135"/>
    </row>
    <row r="1499" spans="3:12">
      <c r="C1499" s="136"/>
      <c r="D1499" s="136"/>
      <c r="E1499" s="136"/>
      <c r="F1499" s="131"/>
      <c r="G1499" s="131"/>
      <c r="H1499" s="131"/>
      <c r="I1499" s="131"/>
      <c r="L1499" s="135"/>
    </row>
    <row r="1500" spans="3:12">
      <c r="C1500" s="136"/>
      <c r="D1500" s="136"/>
      <c r="E1500" s="136"/>
      <c r="F1500" s="131"/>
      <c r="G1500" s="131"/>
      <c r="H1500" s="131"/>
      <c r="I1500" s="131"/>
      <c r="L1500" s="135"/>
    </row>
    <row r="1501" spans="3:12">
      <c r="C1501" s="136"/>
      <c r="D1501" s="136"/>
      <c r="E1501" s="136"/>
      <c r="F1501" s="131"/>
      <c r="G1501" s="131"/>
      <c r="H1501" s="131"/>
      <c r="I1501" s="131"/>
      <c r="L1501" s="135"/>
    </row>
    <row r="1502" spans="3:12">
      <c r="C1502" s="136"/>
      <c r="D1502" s="136"/>
      <c r="E1502" s="136"/>
      <c r="F1502" s="131"/>
      <c r="G1502" s="131"/>
      <c r="H1502" s="131"/>
      <c r="I1502" s="131"/>
      <c r="L1502" s="135"/>
    </row>
    <row r="1503" spans="3:12">
      <c r="C1503" s="136"/>
      <c r="D1503" s="136"/>
      <c r="E1503" s="136"/>
      <c r="F1503" s="131"/>
      <c r="G1503" s="131"/>
      <c r="H1503" s="131"/>
      <c r="I1503" s="131"/>
      <c r="L1503" s="135"/>
    </row>
    <row r="1504" spans="3:12">
      <c r="C1504" s="136"/>
      <c r="D1504" s="136"/>
      <c r="E1504" s="136"/>
      <c r="F1504" s="131"/>
      <c r="G1504" s="131"/>
      <c r="H1504" s="131"/>
      <c r="I1504" s="131"/>
      <c r="L1504" s="135"/>
    </row>
    <row r="1505" spans="3:12">
      <c r="C1505" s="136"/>
      <c r="D1505" s="136"/>
      <c r="E1505" s="136"/>
      <c r="F1505" s="131"/>
      <c r="G1505" s="131"/>
      <c r="H1505" s="131"/>
      <c r="I1505" s="131"/>
      <c r="L1505" s="135"/>
    </row>
    <row r="1506" spans="3:12">
      <c r="C1506" s="136"/>
      <c r="D1506" s="136"/>
      <c r="E1506" s="136"/>
      <c r="F1506" s="131"/>
      <c r="G1506" s="131"/>
      <c r="H1506" s="131"/>
      <c r="I1506" s="131"/>
      <c r="L1506" s="135"/>
    </row>
    <row r="1507" spans="3:12">
      <c r="C1507" s="136"/>
      <c r="D1507" s="136"/>
      <c r="E1507" s="136"/>
      <c r="F1507" s="131"/>
      <c r="G1507" s="131"/>
      <c r="H1507" s="131"/>
      <c r="I1507" s="131"/>
      <c r="L1507" s="135"/>
    </row>
    <row r="1508" spans="3:12">
      <c r="C1508" s="136"/>
      <c r="D1508" s="136"/>
      <c r="E1508" s="136"/>
      <c r="F1508" s="131"/>
      <c r="G1508" s="131"/>
      <c r="H1508" s="131"/>
      <c r="I1508" s="131"/>
      <c r="L1508" s="135"/>
    </row>
    <row r="1509" spans="3:12">
      <c r="C1509" s="136"/>
      <c r="D1509" s="136"/>
      <c r="E1509" s="136"/>
      <c r="F1509" s="131"/>
      <c r="G1509" s="131"/>
      <c r="H1509" s="131"/>
      <c r="I1509" s="131"/>
      <c r="L1509" s="135"/>
    </row>
    <row r="1510" spans="3:12">
      <c r="C1510" s="136"/>
      <c r="D1510" s="136"/>
      <c r="E1510" s="136"/>
      <c r="F1510" s="131"/>
      <c r="G1510" s="131"/>
      <c r="H1510" s="131"/>
      <c r="I1510" s="131"/>
      <c r="L1510" s="135"/>
    </row>
    <row r="1511" spans="3:12">
      <c r="C1511" s="136"/>
      <c r="D1511" s="136"/>
      <c r="E1511" s="136"/>
      <c r="F1511" s="131"/>
      <c r="G1511" s="131"/>
      <c r="H1511" s="131"/>
      <c r="I1511" s="131"/>
      <c r="L1511" s="135"/>
    </row>
    <row r="1512" spans="3:12">
      <c r="C1512" s="136"/>
      <c r="D1512" s="136"/>
      <c r="E1512" s="136"/>
      <c r="F1512" s="131"/>
      <c r="G1512" s="131"/>
      <c r="H1512" s="131"/>
      <c r="I1512" s="131"/>
      <c r="L1512" s="135"/>
    </row>
    <row r="1513" spans="3:12">
      <c r="C1513" s="136"/>
      <c r="D1513" s="136"/>
      <c r="E1513" s="136"/>
      <c r="F1513" s="131"/>
      <c r="G1513" s="131"/>
      <c r="H1513" s="131"/>
      <c r="I1513" s="131"/>
      <c r="L1513" s="135"/>
    </row>
    <row r="1514" spans="3:12">
      <c r="C1514" s="136"/>
      <c r="D1514" s="136"/>
      <c r="E1514" s="136"/>
      <c r="F1514" s="131"/>
      <c r="G1514" s="131"/>
      <c r="H1514" s="131"/>
      <c r="I1514" s="131"/>
      <c r="L1514" s="135"/>
    </row>
    <row r="1515" spans="3:12">
      <c r="C1515" s="136"/>
      <c r="D1515" s="136"/>
      <c r="E1515" s="136"/>
      <c r="F1515" s="131"/>
      <c r="G1515" s="131"/>
      <c r="H1515" s="131"/>
      <c r="I1515" s="131"/>
      <c r="L1515" s="135"/>
    </row>
    <row r="1516" spans="3:12">
      <c r="C1516" s="136"/>
      <c r="D1516" s="136"/>
      <c r="E1516" s="136"/>
      <c r="F1516" s="131"/>
      <c r="G1516" s="131"/>
      <c r="H1516" s="131"/>
      <c r="I1516" s="131"/>
      <c r="L1516" s="135"/>
    </row>
    <row r="1517" spans="3:12">
      <c r="C1517" s="136"/>
      <c r="D1517" s="136"/>
      <c r="E1517" s="136"/>
      <c r="F1517" s="131"/>
      <c r="G1517" s="131"/>
      <c r="H1517" s="131"/>
      <c r="I1517" s="131"/>
      <c r="L1517" s="135"/>
    </row>
    <row r="1518" spans="3:12">
      <c r="C1518" s="136"/>
      <c r="D1518" s="136"/>
      <c r="E1518" s="136"/>
      <c r="F1518" s="131"/>
      <c r="G1518" s="131"/>
      <c r="H1518" s="131"/>
      <c r="I1518" s="131"/>
      <c r="L1518" s="135"/>
    </row>
    <row r="1519" spans="3:12">
      <c r="C1519" s="136"/>
      <c r="D1519" s="136"/>
      <c r="E1519" s="136"/>
      <c r="F1519" s="131"/>
      <c r="G1519" s="131"/>
      <c r="H1519" s="131"/>
      <c r="I1519" s="131"/>
      <c r="L1519" s="135"/>
    </row>
    <row r="1520" spans="3:12">
      <c r="C1520" s="136"/>
      <c r="D1520" s="136"/>
      <c r="E1520" s="136"/>
      <c r="F1520" s="131"/>
      <c r="G1520" s="131"/>
      <c r="H1520" s="131"/>
      <c r="I1520" s="131"/>
      <c r="L1520" s="135"/>
    </row>
    <row r="1521" spans="3:12">
      <c r="C1521" s="136"/>
      <c r="D1521" s="136"/>
      <c r="E1521" s="136"/>
      <c r="F1521" s="131"/>
      <c r="G1521" s="131"/>
      <c r="H1521" s="131"/>
      <c r="I1521" s="131"/>
      <c r="L1521" s="135"/>
    </row>
    <row r="1522" spans="3:12">
      <c r="C1522" s="136"/>
      <c r="D1522" s="136"/>
      <c r="E1522" s="136"/>
      <c r="F1522" s="131"/>
      <c r="G1522" s="131"/>
      <c r="H1522" s="131"/>
      <c r="I1522" s="131"/>
      <c r="L1522" s="135"/>
    </row>
    <row r="1523" spans="3:12">
      <c r="C1523" s="136"/>
      <c r="D1523" s="136"/>
      <c r="E1523" s="136"/>
      <c r="F1523" s="131"/>
      <c r="G1523" s="131"/>
      <c r="H1523" s="131"/>
      <c r="I1523" s="131"/>
      <c r="L1523" s="135"/>
    </row>
    <row r="1524" spans="3:12">
      <c r="C1524" s="136"/>
      <c r="D1524" s="136"/>
      <c r="E1524" s="136"/>
      <c r="F1524" s="131"/>
      <c r="G1524" s="131"/>
      <c r="H1524" s="131"/>
      <c r="I1524" s="131"/>
      <c r="L1524" s="135"/>
    </row>
    <row r="1525" spans="3:12">
      <c r="C1525" s="136"/>
      <c r="D1525" s="136"/>
      <c r="E1525" s="136"/>
      <c r="F1525" s="131"/>
      <c r="G1525" s="131"/>
      <c r="H1525" s="131"/>
      <c r="I1525" s="131"/>
      <c r="L1525" s="135"/>
    </row>
    <row r="1526" spans="3:12">
      <c r="C1526" s="136"/>
      <c r="D1526" s="136"/>
      <c r="E1526" s="136"/>
      <c r="F1526" s="131"/>
      <c r="G1526" s="131"/>
      <c r="H1526" s="131"/>
      <c r="I1526" s="131"/>
      <c r="L1526" s="135"/>
    </row>
    <row r="1527" spans="3:12">
      <c r="C1527" s="136"/>
      <c r="D1527" s="136"/>
      <c r="E1527" s="136"/>
      <c r="F1527" s="131"/>
      <c r="G1527" s="131"/>
      <c r="H1527" s="131"/>
      <c r="I1527" s="131"/>
      <c r="L1527" s="135"/>
    </row>
    <row r="1528" spans="3:12">
      <c r="C1528" s="136"/>
      <c r="D1528" s="136"/>
      <c r="E1528" s="136"/>
      <c r="F1528" s="131"/>
      <c r="G1528" s="131"/>
      <c r="H1528" s="131"/>
      <c r="I1528" s="131"/>
      <c r="L1528" s="135"/>
    </row>
    <row r="1529" spans="3:12">
      <c r="C1529" s="136"/>
      <c r="D1529" s="136"/>
      <c r="E1529" s="136"/>
      <c r="F1529" s="131"/>
      <c r="G1529" s="131"/>
      <c r="H1529" s="131"/>
      <c r="I1529" s="131"/>
      <c r="L1529" s="135"/>
    </row>
    <row r="1530" spans="3:12">
      <c r="C1530" s="136"/>
      <c r="D1530" s="136"/>
      <c r="E1530" s="136"/>
      <c r="F1530" s="131"/>
      <c r="G1530" s="131"/>
      <c r="H1530" s="131"/>
      <c r="I1530" s="131"/>
      <c r="L1530" s="135"/>
    </row>
    <row r="1531" spans="3:12">
      <c r="C1531" s="136"/>
      <c r="D1531" s="136"/>
      <c r="E1531" s="136"/>
      <c r="F1531" s="131"/>
      <c r="G1531" s="131"/>
      <c r="H1531" s="131"/>
      <c r="I1531" s="131"/>
      <c r="L1531" s="135"/>
    </row>
    <row r="1532" spans="3:12">
      <c r="C1532" s="136"/>
      <c r="D1532" s="136"/>
      <c r="E1532" s="136"/>
      <c r="F1532" s="131"/>
      <c r="G1532" s="131"/>
      <c r="H1532" s="131"/>
      <c r="I1532" s="131"/>
      <c r="L1532" s="135"/>
    </row>
    <row r="1533" spans="3:12">
      <c r="C1533" s="136"/>
      <c r="D1533" s="136"/>
      <c r="E1533" s="136"/>
      <c r="F1533" s="131"/>
      <c r="G1533" s="131"/>
      <c r="H1533" s="131"/>
      <c r="I1533" s="131"/>
      <c r="L1533" s="135"/>
    </row>
    <row r="1534" spans="3:12">
      <c r="C1534" s="136"/>
      <c r="D1534" s="136"/>
      <c r="E1534" s="136"/>
      <c r="F1534" s="131"/>
      <c r="G1534" s="131"/>
      <c r="H1534" s="131"/>
      <c r="I1534" s="131"/>
      <c r="L1534" s="135"/>
    </row>
    <row r="1535" spans="3:12">
      <c r="C1535" s="136"/>
      <c r="D1535" s="136"/>
      <c r="E1535" s="136"/>
      <c r="F1535" s="131"/>
      <c r="G1535" s="131"/>
      <c r="H1535" s="131"/>
      <c r="I1535" s="131"/>
      <c r="L1535" s="135"/>
    </row>
    <row r="1536" spans="3:12">
      <c r="C1536" s="136"/>
      <c r="D1536" s="136"/>
      <c r="E1536" s="136"/>
      <c r="F1536" s="131"/>
      <c r="G1536" s="131"/>
      <c r="H1536" s="131"/>
      <c r="I1536" s="131"/>
      <c r="L1536" s="135"/>
    </row>
    <row r="1537" spans="3:12">
      <c r="C1537" s="136"/>
      <c r="D1537" s="136"/>
      <c r="E1537" s="136"/>
      <c r="F1537" s="131"/>
      <c r="G1537" s="131"/>
      <c r="H1537" s="131"/>
      <c r="I1537" s="131"/>
      <c r="L1537" s="135"/>
    </row>
    <row r="1538" spans="3:12">
      <c r="C1538" s="136"/>
      <c r="D1538" s="136"/>
      <c r="E1538" s="136"/>
      <c r="F1538" s="131"/>
      <c r="G1538" s="131"/>
      <c r="H1538" s="131"/>
      <c r="I1538" s="131"/>
      <c r="L1538" s="135"/>
    </row>
    <row r="1539" spans="3:12">
      <c r="C1539" s="136"/>
      <c r="D1539" s="136"/>
      <c r="E1539" s="136"/>
      <c r="F1539" s="131"/>
      <c r="G1539" s="131"/>
      <c r="H1539" s="131"/>
      <c r="I1539" s="131"/>
      <c r="L1539" s="135"/>
    </row>
    <row r="1540" spans="3:12">
      <c r="C1540" s="136"/>
      <c r="D1540" s="136"/>
      <c r="E1540" s="136"/>
      <c r="F1540" s="131"/>
      <c r="G1540" s="131"/>
      <c r="H1540" s="131"/>
      <c r="I1540" s="131"/>
      <c r="L1540" s="135"/>
    </row>
    <row r="1541" spans="3:12">
      <c r="C1541" s="136"/>
      <c r="D1541" s="136"/>
      <c r="E1541" s="136"/>
      <c r="F1541" s="131"/>
      <c r="G1541" s="131"/>
      <c r="H1541" s="131"/>
      <c r="I1541" s="131"/>
      <c r="L1541" s="135"/>
    </row>
    <row r="1542" spans="3:12">
      <c r="C1542" s="136"/>
      <c r="D1542" s="136"/>
      <c r="E1542" s="136"/>
      <c r="F1542" s="131"/>
      <c r="G1542" s="131"/>
      <c r="H1542" s="131"/>
      <c r="I1542" s="131"/>
      <c r="L1542" s="135"/>
    </row>
    <row r="1543" spans="3:12">
      <c r="C1543" s="136"/>
      <c r="D1543" s="136"/>
      <c r="E1543" s="136"/>
      <c r="F1543" s="131"/>
      <c r="G1543" s="131"/>
      <c r="H1543" s="131"/>
      <c r="I1543" s="131"/>
      <c r="L1543" s="135"/>
    </row>
    <row r="1544" spans="3:12">
      <c r="C1544" s="136"/>
      <c r="D1544" s="136"/>
      <c r="E1544" s="136"/>
      <c r="F1544" s="131"/>
      <c r="G1544" s="131"/>
      <c r="H1544" s="131"/>
      <c r="I1544" s="131"/>
      <c r="L1544" s="135"/>
    </row>
    <row r="1545" spans="3:12">
      <c r="C1545" s="136"/>
      <c r="D1545" s="136"/>
      <c r="E1545" s="136"/>
      <c r="F1545" s="131"/>
      <c r="G1545" s="131"/>
      <c r="H1545" s="131"/>
      <c r="I1545" s="131"/>
      <c r="L1545" s="135"/>
    </row>
    <row r="1546" spans="3:12">
      <c r="C1546" s="136"/>
      <c r="D1546" s="136"/>
      <c r="E1546" s="136"/>
      <c r="F1546" s="131"/>
      <c r="G1546" s="131"/>
      <c r="H1546" s="131"/>
      <c r="I1546" s="131"/>
      <c r="L1546" s="135"/>
    </row>
    <row r="1547" spans="3:12">
      <c r="C1547" s="136"/>
      <c r="D1547" s="136"/>
      <c r="E1547" s="136"/>
      <c r="F1547" s="131"/>
      <c r="G1547" s="131"/>
      <c r="H1547" s="131"/>
      <c r="I1547" s="131"/>
      <c r="L1547" s="135"/>
    </row>
    <row r="1548" spans="3:12">
      <c r="C1548" s="136"/>
      <c r="D1548" s="136"/>
      <c r="E1548" s="136"/>
      <c r="F1548" s="131"/>
      <c r="G1548" s="131"/>
      <c r="H1548" s="131"/>
      <c r="I1548" s="131"/>
      <c r="L1548" s="135"/>
    </row>
    <row r="1549" spans="3:12">
      <c r="C1549" s="136"/>
      <c r="D1549" s="136"/>
      <c r="E1549" s="136"/>
      <c r="F1549" s="131"/>
      <c r="G1549" s="131"/>
      <c r="H1549" s="131"/>
      <c r="I1549" s="131"/>
      <c r="L1549" s="135"/>
    </row>
    <row r="1550" spans="3:12">
      <c r="C1550" s="136"/>
      <c r="D1550" s="136"/>
      <c r="E1550" s="136"/>
      <c r="F1550" s="131"/>
      <c r="G1550" s="131"/>
      <c r="H1550" s="131"/>
      <c r="I1550" s="131"/>
      <c r="L1550" s="135"/>
    </row>
    <row r="1551" spans="3:12">
      <c r="C1551" s="136"/>
      <c r="D1551" s="136"/>
      <c r="E1551" s="136"/>
      <c r="F1551" s="131"/>
      <c r="G1551" s="131"/>
      <c r="H1551" s="131"/>
      <c r="I1551" s="131"/>
      <c r="L1551" s="135"/>
    </row>
    <row r="1552" spans="3:12">
      <c r="C1552" s="136"/>
      <c r="D1552" s="136"/>
      <c r="E1552" s="136"/>
      <c r="F1552" s="131"/>
      <c r="G1552" s="131"/>
      <c r="H1552" s="131"/>
      <c r="I1552" s="131"/>
      <c r="L1552" s="135"/>
    </row>
    <row r="1553" spans="3:12">
      <c r="C1553" s="136"/>
      <c r="D1553" s="136"/>
      <c r="E1553" s="136"/>
      <c r="F1553" s="131"/>
      <c r="G1553" s="131"/>
      <c r="H1553" s="131"/>
      <c r="I1553" s="131"/>
      <c r="L1553" s="135"/>
    </row>
    <row r="1554" spans="3:12">
      <c r="C1554" s="136"/>
      <c r="D1554" s="136"/>
      <c r="E1554" s="136"/>
      <c r="F1554" s="131"/>
      <c r="G1554" s="131"/>
      <c r="H1554" s="131"/>
      <c r="I1554" s="131"/>
      <c r="L1554" s="135"/>
    </row>
    <row r="1555" spans="3:12">
      <c r="C1555" s="136"/>
      <c r="D1555" s="136"/>
      <c r="E1555" s="136"/>
      <c r="F1555" s="131"/>
      <c r="G1555" s="131"/>
      <c r="H1555" s="131"/>
      <c r="I1555" s="131"/>
      <c r="L1555" s="135"/>
    </row>
    <row r="1556" spans="3:12">
      <c r="C1556" s="136"/>
      <c r="D1556" s="136"/>
      <c r="E1556" s="136"/>
      <c r="F1556" s="131"/>
      <c r="G1556" s="131"/>
      <c r="H1556" s="131"/>
      <c r="I1556" s="131"/>
      <c r="L1556" s="135"/>
    </row>
    <row r="1557" spans="3:12">
      <c r="C1557" s="136"/>
      <c r="D1557" s="136"/>
      <c r="E1557" s="136"/>
      <c r="F1557" s="131"/>
      <c r="G1557" s="131"/>
      <c r="H1557" s="131"/>
      <c r="I1557" s="131"/>
      <c r="L1557" s="135"/>
    </row>
    <row r="1558" spans="3:12">
      <c r="C1558" s="136"/>
      <c r="D1558" s="136"/>
      <c r="E1558" s="136"/>
      <c r="F1558" s="131"/>
      <c r="G1558" s="131"/>
      <c r="H1558" s="131"/>
      <c r="I1558" s="131"/>
      <c r="L1558" s="135"/>
    </row>
    <row r="1559" spans="3:12">
      <c r="C1559" s="136"/>
      <c r="D1559" s="136"/>
      <c r="E1559" s="136"/>
      <c r="F1559" s="131"/>
      <c r="G1559" s="131"/>
      <c r="H1559" s="131"/>
      <c r="I1559" s="131"/>
      <c r="L1559" s="135"/>
    </row>
    <row r="1560" spans="3:12">
      <c r="C1560" s="136"/>
      <c r="D1560" s="136"/>
      <c r="E1560" s="136"/>
      <c r="F1560" s="131"/>
      <c r="G1560" s="131"/>
      <c r="H1560" s="131"/>
      <c r="I1560" s="131"/>
      <c r="L1560" s="135"/>
    </row>
    <row r="1561" spans="3:12">
      <c r="C1561" s="136"/>
      <c r="D1561" s="136"/>
      <c r="E1561" s="136"/>
      <c r="F1561" s="131"/>
      <c r="G1561" s="131"/>
      <c r="H1561" s="131"/>
      <c r="I1561" s="131"/>
      <c r="L1561" s="135"/>
    </row>
    <row r="1562" spans="3:12">
      <c r="C1562" s="136"/>
      <c r="D1562" s="136"/>
      <c r="E1562" s="136"/>
      <c r="F1562" s="131"/>
      <c r="G1562" s="131"/>
      <c r="H1562" s="131"/>
      <c r="I1562" s="131"/>
      <c r="L1562" s="135"/>
    </row>
    <row r="1563" spans="3:12">
      <c r="C1563" s="136"/>
      <c r="D1563" s="136"/>
      <c r="E1563" s="136"/>
      <c r="F1563" s="131"/>
      <c r="G1563" s="131"/>
      <c r="H1563" s="131"/>
      <c r="I1563" s="131"/>
      <c r="L1563" s="135"/>
    </row>
    <row r="1564" spans="3:12">
      <c r="C1564" s="136"/>
      <c r="D1564" s="136"/>
      <c r="E1564" s="136"/>
      <c r="F1564" s="131"/>
      <c r="G1564" s="131"/>
      <c r="H1564" s="131"/>
      <c r="I1564" s="131"/>
      <c r="L1564" s="135"/>
    </row>
    <row r="1565" spans="3:12">
      <c r="C1565" s="136"/>
      <c r="D1565" s="136"/>
      <c r="E1565" s="136"/>
      <c r="F1565" s="131"/>
      <c r="G1565" s="131"/>
      <c r="H1565" s="131"/>
      <c r="I1565" s="131"/>
      <c r="L1565" s="135"/>
    </row>
    <row r="1566" spans="3:12">
      <c r="C1566" s="136"/>
      <c r="D1566" s="136"/>
      <c r="E1566" s="136"/>
      <c r="F1566" s="131"/>
      <c r="G1566" s="131"/>
      <c r="H1566" s="131"/>
      <c r="I1566" s="131"/>
      <c r="L1566" s="135"/>
    </row>
    <row r="1567" spans="3:12">
      <c r="C1567" s="136"/>
      <c r="D1567" s="136"/>
      <c r="E1567" s="136"/>
      <c r="F1567" s="131"/>
      <c r="G1567" s="131"/>
      <c r="H1567" s="131"/>
      <c r="I1567" s="131"/>
      <c r="L1567" s="135"/>
    </row>
    <row r="1568" spans="3:12">
      <c r="C1568" s="136"/>
      <c r="D1568" s="136"/>
      <c r="E1568" s="136"/>
      <c r="F1568" s="131"/>
      <c r="G1568" s="131"/>
      <c r="H1568" s="131"/>
      <c r="I1568" s="131"/>
      <c r="L1568" s="135"/>
    </row>
    <row r="1569" spans="3:12">
      <c r="C1569" s="136"/>
      <c r="D1569" s="136"/>
      <c r="E1569" s="136"/>
      <c r="F1569" s="131"/>
      <c r="G1569" s="131"/>
      <c r="H1569" s="131"/>
      <c r="I1569" s="131"/>
      <c r="L1569" s="135"/>
    </row>
    <row r="1570" spans="3:12">
      <c r="C1570" s="136"/>
      <c r="D1570" s="136"/>
      <c r="E1570" s="136"/>
      <c r="F1570" s="131"/>
      <c r="G1570" s="131"/>
      <c r="H1570" s="131"/>
      <c r="I1570" s="131"/>
      <c r="L1570" s="135"/>
    </row>
    <row r="1571" spans="3:12">
      <c r="C1571" s="136"/>
      <c r="D1571" s="136"/>
      <c r="E1571" s="136"/>
      <c r="F1571" s="131"/>
      <c r="G1571" s="131"/>
      <c r="H1571" s="131"/>
      <c r="I1571" s="131"/>
      <c r="L1571" s="135"/>
    </row>
    <row r="1572" spans="3:12">
      <c r="C1572" s="136"/>
      <c r="D1572" s="136"/>
      <c r="E1572" s="136"/>
      <c r="F1572" s="131"/>
      <c r="G1572" s="131"/>
      <c r="H1572" s="131"/>
      <c r="I1572" s="131"/>
      <c r="L1572" s="135"/>
    </row>
    <row r="1573" spans="3:12">
      <c r="C1573" s="136"/>
      <c r="D1573" s="136"/>
      <c r="E1573" s="136"/>
      <c r="F1573" s="131"/>
      <c r="G1573" s="131"/>
      <c r="H1573" s="131"/>
      <c r="I1573" s="131"/>
      <c r="L1573" s="135"/>
    </row>
    <row r="1574" spans="3:12">
      <c r="C1574" s="136"/>
      <c r="D1574" s="136"/>
      <c r="E1574" s="136"/>
      <c r="F1574" s="131"/>
      <c r="G1574" s="131"/>
      <c r="H1574" s="131"/>
      <c r="I1574" s="131"/>
      <c r="L1574" s="135"/>
    </row>
    <row r="1575" spans="3:12">
      <c r="C1575" s="136"/>
      <c r="D1575" s="136"/>
      <c r="E1575" s="136"/>
      <c r="F1575" s="131"/>
      <c r="G1575" s="131"/>
      <c r="H1575" s="131"/>
      <c r="I1575" s="131"/>
      <c r="L1575" s="135"/>
    </row>
    <row r="1576" spans="3:12">
      <c r="C1576" s="136"/>
      <c r="D1576" s="136"/>
      <c r="E1576" s="136"/>
      <c r="F1576" s="131"/>
      <c r="G1576" s="131"/>
      <c r="H1576" s="131"/>
      <c r="I1576" s="131"/>
      <c r="L1576" s="135"/>
    </row>
    <row r="1577" spans="3:12">
      <c r="C1577" s="136"/>
      <c r="D1577" s="136"/>
      <c r="E1577" s="136"/>
      <c r="F1577" s="131"/>
      <c r="G1577" s="131"/>
      <c r="H1577" s="131"/>
      <c r="I1577" s="131"/>
      <c r="L1577" s="135"/>
    </row>
    <row r="1578" spans="3:12">
      <c r="C1578" s="136"/>
      <c r="D1578" s="136"/>
      <c r="E1578" s="136"/>
      <c r="F1578" s="131"/>
      <c r="G1578" s="131"/>
      <c r="H1578" s="131"/>
      <c r="I1578" s="131"/>
      <c r="L1578" s="135"/>
    </row>
    <row r="1579" spans="3:12">
      <c r="C1579" s="136"/>
      <c r="D1579" s="136"/>
      <c r="E1579" s="136"/>
      <c r="F1579" s="131"/>
      <c r="G1579" s="131"/>
      <c r="H1579" s="131"/>
      <c r="I1579" s="131"/>
      <c r="L1579" s="135"/>
    </row>
    <row r="1580" spans="3:12">
      <c r="C1580" s="136"/>
      <c r="D1580" s="136"/>
      <c r="E1580" s="136"/>
      <c r="F1580" s="131"/>
      <c r="G1580" s="131"/>
      <c r="H1580" s="131"/>
      <c r="I1580" s="131"/>
      <c r="L1580" s="135"/>
    </row>
    <row r="1581" spans="3:12">
      <c r="C1581" s="136"/>
      <c r="D1581" s="136"/>
      <c r="E1581" s="136"/>
      <c r="F1581" s="131"/>
      <c r="G1581" s="131"/>
      <c r="H1581" s="131"/>
      <c r="I1581" s="131"/>
      <c r="L1581" s="135"/>
    </row>
    <row r="1582" spans="3:12">
      <c r="C1582" s="136"/>
      <c r="D1582" s="136"/>
      <c r="E1582" s="136"/>
      <c r="F1582" s="131"/>
      <c r="G1582" s="131"/>
      <c r="H1582" s="131"/>
      <c r="I1582" s="131"/>
      <c r="L1582" s="135"/>
    </row>
    <row r="1583" spans="3:12">
      <c r="C1583" s="136"/>
      <c r="D1583" s="136"/>
      <c r="E1583" s="136"/>
      <c r="F1583" s="131"/>
      <c r="G1583" s="131"/>
      <c r="H1583" s="131"/>
      <c r="I1583" s="131"/>
      <c r="L1583" s="135"/>
    </row>
    <row r="1584" spans="3:12">
      <c r="C1584" s="136"/>
      <c r="D1584" s="136"/>
      <c r="E1584" s="136"/>
      <c r="F1584" s="131"/>
      <c r="G1584" s="131"/>
      <c r="H1584" s="131"/>
      <c r="I1584" s="131"/>
      <c r="L1584" s="135"/>
    </row>
    <row r="1585" spans="3:12">
      <c r="C1585" s="136"/>
      <c r="D1585" s="136"/>
      <c r="E1585" s="136"/>
      <c r="F1585" s="131"/>
      <c r="G1585" s="131"/>
      <c r="H1585" s="131"/>
      <c r="I1585" s="131"/>
      <c r="L1585" s="135"/>
    </row>
    <row r="1586" spans="3:12">
      <c r="C1586" s="136"/>
      <c r="D1586" s="136"/>
      <c r="E1586" s="136"/>
      <c r="F1586" s="131"/>
      <c r="G1586" s="131"/>
      <c r="H1586" s="131"/>
      <c r="I1586" s="131"/>
      <c r="L1586" s="135"/>
    </row>
    <row r="1587" spans="3:12">
      <c r="C1587" s="136"/>
      <c r="D1587" s="136"/>
      <c r="E1587" s="136"/>
      <c r="F1587" s="131"/>
      <c r="G1587" s="131"/>
      <c r="H1587" s="131"/>
      <c r="I1587" s="131"/>
      <c r="L1587" s="135"/>
    </row>
    <row r="1588" spans="3:12">
      <c r="C1588" s="136"/>
      <c r="D1588" s="136"/>
      <c r="E1588" s="136"/>
      <c r="F1588" s="131"/>
      <c r="G1588" s="131"/>
      <c r="H1588" s="131"/>
      <c r="I1588" s="131"/>
      <c r="L1588" s="135"/>
    </row>
    <row r="1589" spans="3:12">
      <c r="C1589" s="136"/>
      <c r="D1589" s="136"/>
      <c r="E1589" s="136"/>
      <c r="F1589" s="131"/>
      <c r="G1589" s="131"/>
      <c r="H1589" s="131"/>
      <c r="I1589" s="131"/>
      <c r="L1589" s="135"/>
    </row>
    <row r="1590" spans="3:12">
      <c r="C1590" s="136"/>
      <c r="D1590" s="136"/>
      <c r="E1590" s="136"/>
      <c r="F1590" s="131"/>
      <c r="G1590" s="131"/>
      <c r="H1590" s="131"/>
      <c r="I1590" s="131"/>
      <c r="L1590" s="135"/>
    </row>
    <row r="1591" spans="3:12">
      <c r="C1591" s="136"/>
      <c r="D1591" s="136"/>
      <c r="E1591" s="136"/>
      <c r="F1591" s="131"/>
      <c r="G1591" s="131"/>
      <c r="H1591" s="131"/>
      <c r="I1591" s="131"/>
      <c r="L1591" s="135"/>
    </row>
    <row r="1592" spans="3:12">
      <c r="C1592" s="136"/>
      <c r="D1592" s="136"/>
      <c r="E1592" s="136"/>
      <c r="F1592" s="131"/>
      <c r="G1592" s="131"/>
      <c r="H1592" s="131"/>
      <c r="I1592" s="131"/>
      <c r="L1592" s="135"/>
    </row>
    <row r="1593" spans="3:12">
      <c r="C1593" s="136"/>
      <c r="D1593" s="136"/>
      <c r="E1593" s="136"/>
      <c r="F1593" s="131"/>
      <c r="G1593" s="131"/>
      <c r="H1593" s="131"/>
      <c r="I1593" s="131"/>
      <c r="L1593" s="135"/>
    </row>
    <row r="1594" spans="3:12">
      <c r="C1594" s="136"/>
      <c r="D1594" s="136"/>
      <c r="E1594" s="136"/>
      <c r="F1594" s="131"/>
      <c r="G1594" s="131"/>
      <c r="H1594" s="131"/>
      <c r="I1594" s="131"/>
      <c r="L1594" s="135"/>
    </row>
    <row r="1595" spans="3:12">
      <c r="C1595" s="136"/>
      <c r="D1595" s="136"/>
      <c r="E1595" s="136"/>
      <c r="F1595" s="131"/>
      <c r="G1595" s="131"/>
      <c r="H1595" s="131"/>
      <c r="I1595" s="131"/>
      <c r="L1595" s="135"/>
    </row>
    <row r="1596" spans="3:12">
      <c r="C1596" s="136"/>
      <c r="D1596" s="136"/>
      <c r="E1596" s="136"/>
      <c r="F1596" s="131"/>
      <c r="G1596" s="131"/>
      <c r="H1596" s="131"/>
      <c r="I1596" s="131"/>
      <c r="L1596" s="135"/>
    </row>
    <row r="1597" spans="3:12">
      <c r="C1597" s="136"/>
      <c r="D1597" s="136"/>
      <c r="E1597" s="136"/>
      <c r="F1597" s="131"/>
      <c r="G1597" s="131"/>
      <c r="H1597" s="131"/>
      <c r="I1597" s="131"/>
      <c r="L1597" s="135"/>
    </row>
    <row r="1598" spans="3:12">
      <c r="C1598" s="136"/>
      <c r="D1598" s="136"/>
      <c r="E1598" s="136"/>
      <c r="F1598" s="131"/>
      <c r="G1598" s="131"/>
      <c r="H1598" s="131"/>
      <c r="I1598" s="131"/>
      <c r="L1598" s="135"/>
    </row>
    <row r="1599" spans="3:12">
      <c r="C1599" s="136"/>
      <c r="D1599" s="136"/>
      <c r="E1599" s="136"/>
      <c r="F1599" s="131"/>
      <c r="G1599" s="131"/>
      <c r="H1599" s="131"/>
      <c r="I1599" s="131"/>
      <c r="L1599" s="135"/>
    </row>
    <row r="1600" spans="3:12">
      <c r="C1600" s="136"/>
      <c r="D1600" s="136"/>
      <c r="E1600" s="136"/>
      <c r="F1600" s="131"/>
      <c r="G1600" s="131"/>
      <c r="H1600" s="131"/>
      <c r="I1600" s="131"/>
      <c r="L1600" s="135"/>
    </row>
    <row r="1601" spans="3:12">
      <c r="C1601" s="136"/>
      <c r="D1601" s="136"/>
      <c r="E1601" s="136"/>
      <c r="F1601" s="131"/>
      <c r="G1601" s="131"/>
      <c r="H1601" s="131"/>
      <c r="I1601" s="131"/>
      <c r="L1601" s="135"/>
    </row>
    <row r="1602" spans="3:12">
      <c r="C1602" s="136"/>
      <c r="D1602" s="136"/>
      <c r="E1602" s="136"/>
      <c r="F1602" s="131"/>
      <c r="G1602" s="131"/>
      <c r="H1602" s="131"/>
      <c r="I1602" s="131"/>
      <c r="L1602" s="135"/>
    </row>
    <row r="1603" spans="3:12">
      <c r="C1603" s="136"/>
      <c r="D1603" s="136"/>
      <c r="E1603" s="136"/>
      <c r="F1603" s="131"/>
      <c r="G1603" s="131"/>
      <c r="H1603" s="131"/>
      <c r="I1603" s="131"/>
      <c r="L1603" s="135"/>
    </row>
    <row r="1604" spans="3:12">
      <c r="C1604" s="136"/>
      <c r="D1604" s="136"/>
      <c r="E1604" s="136"/>
      <c r="F1604" s="131"/>
      <c r="G1604" s="131"/>
      <c r="H1604" s="131"/>
      <c r="I1604" s="131"/>
      <c r="L1604" s="135"/>
    </row>
    <row r="1605" spans="3:12">
      <c r="C1605" s="136"/>
      <c r="D1605" s="136"/>
      <c r="E1605" s="136"/>
      <c r="F1605" s="131"/>
      <c r="G1605" s="131"/>
      <c r="H1605" s="131"/>
      <c r="I1605" s="131"/>
      <c r="L1605" s="135"/>
    </row>
    <row r="1606" spans="3:12">
      <c r="C1606" s="136"/>
      <c r="D1606" s="136"/>
      <c r="E1606" s="136"/>
      <c r="F1606" s="131"/>
      <c r="G1606" s="131"/>
      <c r="H1606" s="131"/>
      <c r="I1606" s="131"/>
      <c r="L1606" s="135"/>
    </row>
    <row r="1607" spans="3:12">
      <c r="C1607" s="136"/>
      <c r="D1607" s="136"/>
      <c r="E1607" s="136"/>
      <c r="F1607" s="131"/>
      <c r="G1607" s="131"/>
      <c r="H1607" s="131"/>
      <c r="I1607" s="131"/>
      <c r="L1607" s="135"/>
    </row>
    <row r="1608" spans="3:12">
      <c r="C1608" s="136"/>
      <c r="D1608" s="136"/>
      <c r="E1608" s="136"/>
      <c r="F1608" s="131"/>
      <c r="G1608" s="131"/>
      <c r="H1608" s="131"/>
      <c r="I1608" s="131"/>
      <c r="L1608" s="135"/>
    </row>
    <row r="1609" spans="3:12">
      <c r="C1609" s="136"/>
      <c r="D1609" s="136"/>
      <c r="E1609" s="136"/>
      <c r="F1609" s="131"/>
      <c r="G1609" s="131"/>
      <c r="H1609" s="131"/>
      <c r="I1609" s="131"/>
      <c r="L1609" s="135"/>
    </row>
    <row r="1610" spans="3:12">
      <c r="C1610" s="136"/>
      <c r="D1610" s="136"/>
      <c r="E1610" s="136"/>
      <c r="F1610" s="131"/>
      <c r="G1610" s="131"/>
      <c r="H1610" s="131"/>
      <c r="I1610" s="131"/>
      <c r="L1610" s="135"/>
    </row>
    <row r="1611" spans="3:12">
      <c r="C1611" s="136"/>
      <c r="D1611" s="136"/>
      <c r="E1611" s="136"/>
      <c r="F1611" s="131"/>
      <c r="G1611" s="131"/>
      <c r="H1611" s="131"/>
      <c r="I1611" s="131"/>
      <c r="L1611" s="135"/>
    </row>
    <row r="1612" spans="3:12">
      <c r="C1612" s="136"/>
      <c r="D1612" s="136"/>
      <c r="E1612" s="136"/>
      <c r="F1612" s="131"/>
      <c r="G1612" s="131"/>
      <c r="H1612" s="131"/>
      <c r="I1612" s="131"/>
      <c r="L1612" s="135"/>
    </row>
    <row r="1613" spans="3:12">
      <c r="C1613" s="136"/>
      <c r="D1613" s="136"/>
      <c r="E1613" s="136"/>
      <c r="F1613" s="131"/>
      <c r="G1613" s="131"/>
      <c r="H1613" s="131"/>
      <c r="I1613" s="131"/>
      <c r="L1613" s="135"/>
    </row>
    <row r="1614" spans="3:12">
      <c r="C1614" s="136"/>
      <c r="D1614" s="136"/>
      <c r="E1614" s="136"/>
      <c r="F1614" s="131"/>
      <c r="G1614" s="131"/>
      <c r="H1614" s="131"/>
      <c r="I1614" s="131"/>
      <c r="L1614" s="135"/>
    </row>
    <row r="1615" spans="3:12">
      <c r="C1615" s="136"/>
      <c r="D1615" s="136"/>
      <c r="E1615" s="136"/>
      <c r="F1615" s="131"/>
      <c r="G1615" s="131"/>
      <c r="H1615" s="131"/>
      <c r="I1615" s="131"/>
      <c r="L1615" s="135"/>
    </row>
    <row r="1616" spans="3:12">
      <c r="C1616" s="136"/>
      <c r="D1616" s="136"/>
      <c r="E1616" s="136"/>
      <c r="F1616" s="131"/>
      <c r="G1616" s="131"/>
      <c r="H1616" s="131"/>
      <c r="I1616" s="131"/>
      <c r="L1616" s="135"/>
    </row>
    <row r="1617" spans="3:12">
      <c r="C1617" s="136"/>
      <c r="D1617" s="136"/>
      <c r="E1617" s="136"/>
      <c r="F1617" s="131"/>
      <c r="G1617" s="131"/>
      <c r="H1617" s="131"/>
      <c r="I1617" s="131"/>
      <c r="L1617" s="135"/>
    </row>
    <row r="1618" spans="3:12">
      <c r="C1618" s="136"/>
      <c r="D1618" s="136"/>
      <c r="E1618" s="136"/>
      <c r="F1618" s="131"/>
      <c r="G1618" s="131"/>
      <c r="H1618" s="131"/>
      <c r="I1618" s="131"/>
      <c r="L1618" s="135"/>
    </row>
    <row r="1619" spans="3:12">
      <c r="C1619" s="136"/>
      <c r="D1619" s="136"/>
      <c r="E1619" s="136"/>
      <c r="F1619" s="131"/>
      <c r="G1619" s="131"/>
      <c r="H1619" s="131"/>
      <c r="I1619" s="131"/>
      <c r="L1619" s="135"/>
    </row>
    <row r="1620" spans="3:12">
      <c r="C1620" s="136"/>
      <c r="D1620" s="136"/>
      <c r="E1620" s="136"/>
      <c r="F1620" s="131"/>
      <c r="G1620" s="131"/>
      <c r="H1620" s="131"/>
      <c r="I1620" s="131"/>
      <c r="L1620" s="135"/>
    </row>
    <row r="1621" spans="3:12">
      <c r="C1621" s="136"/>
      <c r="D1621" s="136"/>
      <c r="E1621" s="136"/>
      <c r="F1621" s="131"/>
      <c r="G1621" s="131"/>
      <c r="H1621" s="131"/>
      <c r="I1621" s="131"/>
      <c r="L1621" s="135"/>
    </row>
    <row r="1622" spans="3:12">
      <c r="C1622" s="136"/>
      <c r="D1622" s="136"/>
      <c r="E1622" s="136"/>
      <c r="F1622" s="131"/>
      <c r="G1622" s="131"/>
      <c r="H1622" s="131"/>
      <c r="I1622" s="131"/>
      <c r="L1622" s="135"/>
    </row>
    <row r="1623" spans="3:12">
      <c r="C1623" s="136"/>
      <c r="D1623" s="136"/>
      <c r="E1623" s="136"/>
      <c r="F1623" s="131"/>
      <c r="G1623" s="131"/>
      <c r="H1623" s="131"/>
      <c r="I1623" s="131"/>
      <c r="L1623" s="135"/>
    </row>
    <row r="1624" spans="3:12">
      <c r="C1624" s="136"/>
      <c r="D1624" s="136"/>
      <c r="E1624" s="136"/>
      <c r="F1624" s="131"/>
      <c r="G1624" s="131"/>
      <c r="H1624" s="131"/>
      <c r="I1624" s="131"/>
      <c r="L1624" s="135"/>
    </row>
    <row r="1625" spans="3:12">
      <c r="C1625" s="136"/>
      <c r="D1625" s="136"/>
      <c r="E1625" s="136"/>
      <c r="F1625" s="131"/>
      <c r="G1625" s="131"/>
      <c r="H1625" s="131"/>
      <c r="I1625" s="131"/>
      <c r="L1625" s="135"/>
    </row>
    <row r="1626" spans="3:12">
      <c r="C1626" s="136"/>
      <c r="D1626" s="136"/>
      <c r="E1626" s="136"/>
      <c r="F1626" s="131"/>
      <c r="G1626" s="131"/>
      <c r="H1626" s="131"/>
      <c r="I1626" s="131"/>
      <c r="L1626" s="135"/>
    </row>
    <row r="1627" spans="3:12">
      <c r="C1627" s="136"/>
      <c r="D1627" s="136"/>
      <c r="E1627" s="136"/>
      <c r="F1627" s="131"/>
      <c r="G1627" s="131"/>
      <c r="H1627" s="131"/>
      <c r="I1627" s="131"/>
      <c r="L1627" s="135"/>
    </row>
    <row r="1628" spans="3:12">
      <c r="C1628" s="136"/>
      <c r="D1628" s="136"/>
      <c r="E1628" s="136"/>
      <c r="F1628" s="131"/>
      <c r="G1628" s="131"/>
      <c r="H1628" s="131"/>
      <c r="I1628" s="131"/>
      <c r="L1628" s="135"/>
    </row>
    <row r="1629" spans="3:12">
      <c r="C1629" s="136"/>
      <c r="D1629" s="136"/>
      <c r="E1629" s="136"/>
      <c r="F1629" s="131"/>
      <c r="G1629" s="131"/>
      <c r="H1629" s="131"/>
      <c r="I1629" s="131"/>
      <c r="L1629" s="135"/>
    </row>
    <row r="1630" spans="3:12">
      <c r="C1630" s="136"/>
      <c r="D1630" s="136"/>
      <c r="E1630" s="136"/>
      <c r="F1630" s="131"/>
      <c r="G1630" s="131"/>
      <c r="H1630" s="131"/>
      <c r="I1630" s="131"/>
      <c r="L1630" s="135"/>
    </row>
    <row r="1631" spans="3:12">
      <c r="C1631" s="136"/>
      <c r="D1631" s="136"/>
      <c r="E1631" s="136"/>
      <c r="F1631" s="131"/>
      <c r="G1631" s="131"/>
      <c r="H1631" s="131"/>
      <c r="I1631" s="131"/>
      <c r="L1631" s="135"/>
    </row>
    <row r="1632" spans="3:12">
      <c r="C1632" s="136"/>
      <c r="D1632" s="136"/>
      <c r="E1632" s="136"/>
      <c r="F1632" s="131"/>
      <c r="G1632" s="131"/>
      <c r="H1632" s="131"/>
      <c r="I1632" s="131"/>
      <c r="L1632" s="135"/>
    </row>
    <row r="1633" spans="3:12">
      <c r="C1633" s="136"/>
      <c r="D1633" s="136"/>
      <c r="E1633" s="136"/>
      <c r="F1633" s="131"/>
      <c r="G1633" s="131"/>
      <c r="H1633" s="131"/>
      <c r="I1633" s="131"/>
      <c r="L1633" s="135"/>
    </row>
    <row r="1634" spans="3:12">
      <c r="C1634" s="136"/>
      <c r="D1634" s="136"/>
      <c r="E1634" s="136"/>
      <c r="F1634" s="131"/>
      <c r="G1634" s="131"/>
      <c r="H1634" s="131"/>
      <c r="I1634" s="131"/>
      <c r="L1634" s="135"/>
    </row>
    <row r="1635" spans="3:12">
      <c r="C1635" s="136"/>
      <c r="D1635" s="136"/>
      <c r="E1635" s="136"/>
      <c r="F1635" s="131"/>
      <c r="G1635" s="131"/>
      <c r="H1635" s="131"/>
      <c r="I1635" s="131"/>
      <c r="L1635" s="135"/>
    </row>
    <row r="1636" spans="3:12">
      <c r="C1636" s="136"/>
      <c r="D1636" s="136"/>
      <c r="E1636" s="136"/>
      <c r="F1636" s="131"/>
      <c r="G1636" s="131"/>
      <c r="H1636" s="131"/>
      <c r="I1636" s="131"/>
      <c r="L1636" s="135"/>
    </row>
    <row r="1637" spans="3:12">
      <c r="C1637" s="136"/>
      <c r="D1637" s="136"/>
      <c r="E1637" s="136"/>
      <c r="F1637" s="131"/>
      <c r="G1637" s="131"/>
      <c r="H1637" s="131"/>
      <c r="I1637" s="131"/>
      <c r="L1637" s="135"/>
    </row>
    <row r="1638" spans="3:12">
      <c r="C1638" s="136"/>
      <c r="D1638" s="136"/>
      <c r="E1638" s="136"/>
      <c r="F1638" s="131"/>
      <c r="G1638" s="131"/>
      <c r="H1638" s="131"/>
      <c r="I1638" s="131"/>
      <c r="L1638" s="135"/>
    </row>
    <row r="1639" spans="3:12">
      <c r="C1639" s="136"/>
      <c r="D1639" s="136"/>
      <c r="E1639" s="136"/>
      <c r="F1639" s="131"/>
      <c r="G1639" s="131"/>
      <c r="H1639" s="131"/>
      <c r="I1639" s="131"/>
      <c r="L1639" s="135"/>
    </row>
    <row r="1640" spans="3:12">
      <c r="C1640" s="136"/>
      <c r="D1640" s="136"/>
      <c r="E1640" s="136"/>
      <c r="F1640" s="131"/>
      <c r="G1640" s="131"/>
      <c r="H1640" s="131"/>
      <c r="I1640" s="131"/>
      <c r="L1640" s="135"/>
    </row>
    <row r="1641" spans="3:12">
      <c r="C1641" s="136"/>
      <c r="D1641" s="136"/>
      <c r="E1641" s="136"/>
      <c r="F1641" s="131"/>
      <c r="G1641" s="131"/>
      <c r="H1641" s="131"/>
      <c r="I1641" s="131"/>
      <c r="L1641" s="135"/>
    </row>
    <row r="1642" spans="3:12">
      <c r="C1642" s="136"/>
      <c r="D1642" s="136"/>
      <c r="E1642" s="136"/>
      <c r="F1642" s="131"/>
      <c r="G1642" s="131"/>
      <c r="H1642" s="131"/>
      <c r="I1642" s="131"/>
      <c r="L1642" s="135"/>
    </row>
    <row r="1643" spans="3:12">
      <c r="C1643" s="136"/>
      <c r="D1643" s="136"/>
      <c r="E1643" s="136"/>
      <c r="F1643" s="131"/>
      <c r="G1643" s="131"/>
      <c r="H1643" s="131"/>
      <c r="I1643" s="131"/>
      <c r="L1643" s="135"/>
    </row>
    <row r="1644" spans="3:12">
      <c r="C1644" s="136"/>
      <c r="D1644" s="136"/>
      <c r="E1644" s="136"/>
      <c r="F1644" s="131"/>
      <c r="G1644" s="131"/>
      <c r="H1644" s="131"/>
      <c r="I1644" s="131"/>
      <c r="L1644" s="135"/>
    </row>
    <row r="1645" spans="3:12">
      <c r="C1645" s="136"/>
      <c r="D1645" s="136"/>
      <c r="E1645" s="136"/>
      <c r="F1645" s="131"/>
      <c r="G1645" s="131"/>
      <c r="H1645" s="131"/>
      <c r="I1645" s="131"/>
      <c r="L1645" s="135"/>
    </row>
    <row r="1646" spans="3:12">
      <c r="C1646" s="136"/>
      <c r="D1646" s="136"/>
      <c r="E1646" s="136"/>
      <c r="F1646" s="131"/>
      <c r="G1646" s="131"/>
      <c r="H1646" s="131"/>
      <c r="I1646" s="131"/>
      <c r="L1646" s="135"/>
    </row>
    <row r="1647" spans="3:12">
      <c r="C1647" s="136"/>
      <c r="D1647" s="136"/>
      <c r="E1647" s="136"/>
      <c r="F1647" s="131"/>
      <c r="G1647" s="131"/>
      <c r="H1647" s="131"/>
      <c r="I1647" s="131"/>
      <c r="L1647" s="135"/>
    </row>
    <row r="1648" spans="3:12">
      <c r="C1648" s="136"/>
      <c r="D1648" s="136"/>
      <c r="E1648" s="136"/>
      <c r="F1648" s="131"/>
      <c r="G1648" s="131"/>
      <c r="H1648" s="131"/>
      <c r="I1648" s="131"/>
      <c r="L1648" s="135"/>
    </row>
    <row r="1649" spans="3:12">
      <c r="C1649" s="136"/>
      <c r="D1649" s="136"/>
      <c r="E1649" s="136"/>
      <c r="F1649" s="131"/>
      <c r="G1649" s="131"/>
      <c r="H1649" s="131"/>
      <c r="I1649" s="131"/>
      <c r="L1649" s="135"/>
    </row>
    <row r="1650" spans="3:12">
      <c r="C1650" s="136"/>
      <c r="D1650" s="136"/>
      <c r="E1650" s="136"/>
      <c r="F1650" s="131"/>
      <c r="G1650" s="131"/>
      <c r="H1650" s="131"/>
      <c r="I1650" s="131"/>
      <c r="L1650" s="135"/>
    </row>
    <row r="1651" spans="3:12">
      <c r="C1651" s="136"/>
      <c r="D1651" s="136"/>
      <c r="E1651" s="136"/>
      <c r="F1651" s="131"/>
      <c r="G1651" s="131"/>
      <c r="H1651" s="131"/>
      <c r="I1651" s="131"/>
      <c r="L1651" s="135"/>
    </row>
    <row r="1652" spans="3:12">
      <c r="C1652" s="136"/>
      <c r="D1652" s="136"/>
      <c r="E1652" s="136"/>
      <c r="F1652" s="131"/>
      <c r="G1652" s="131"/>
      <c r="H1652" s="131"/>
      <c r="I1652" s="131"/>
      <c r="L1652" s="135"/>
    </row>
    <row r="1653" spans="3:12">
      <c r="C1653" s="136"/>
      <c r="D1653" s="136"/>
      <c r="E1653" s="136"/>
      <c r="F1653" s="131"/>
      <c r="G1653" s="131"/>
      <c r="H1653" s="131"/>
      <c r="I1653" s="131"/>
      <c r="L1653" s="135"/>
    </row>
    <row r="1654" spans="3:12">
      <c r="C1654" s="136"/>
      <c r="D1654" s="136"/>
      <c r="E1654" s="136"/>
      <c r="F1654" s="131"/>
      <c r="G1654" s="131"/>
      <c r="H1654" s="131"/>
      <c r="I1654" s="131"/>
      <c r="L1654" s="135"/>
    </row>
    <row r="1655" spans="3:12">
      <c r="C1655" s="136"/>
      <c r="D1655" s="136"/>
      <c r="E1655" s="136"/>
      <c r="F1655" s="131"/>
      <c r="G1655" s="131"/>
      <c r="H1655" s="131"/>
      <c r="I1655" s="131"/>
      <c r="L1655" s="135"/>
    </row>
    <row r="1656" spans="3:12">
      <c r="C1656" s="136"/>
      <c r="D1656" s="136"/>
      <c r="E1656" s="136"/>
      <c r="F1656" s="131"/>
      <c r="G1656" s="131"/>
      <c r="H1656" s="131"/>
      <c r="I1656" s="131"/>
      <c r="L1656" s="135"/>
    </row>
    <row r="1657" spans="3:12">
      <c r="C1657" s="136"/>
      <c r="D1657" s="136"/>
      <c r="E1657" s="136"/>
      <c r="F1657" s="131"/>
      <c r="G1657" s="131"/>
      <c r="H1657" s="131"/>
      <c r="I1657" s="131"/>
      <c r="L1657" s="135"/>
    </row>
    <row r="1658" spans="3:12">
      <c r="C1658" s="136"/>
      <c r="D1658" s="136"/>
      <c r="E1658" s="136"/>
      <c r="F1658" s="131"/>
      <c r="G1658" s="131"/>
      <c r="H1658" s="131"/>
      <c r="I1658" s="131"/>
      <c r="L1658" s="135"/>
    </row>
    <row r="1659" spans="3:12">
      <c r="C1659" s="136"/>
      <c r="D1659" s="136"/>
      <c r="E1659" s="136"/>
      <c r="F1659" s="131"/>
      <c r="G1659" s="131"/>
      <c r="H1659" s="131"/>
      <c r="I1659" s="131"/>
      <c r="L1659" s="135"/>
    </row>
    <row r="1660" spans="3:12">
      <c r="C1660" s="136"/>
      <c r="D1660" s="136"/>
      <c r="E1660" s="136"/>
      <c r="F1660" s="131"/>
      <c r="G1660" s="131"/>
      <c r="H1660" s="131"/>
      <c r="I1660" s="131"/>
      <c r="L1660" s="135"/>
    </row>
    <row r="1661" spans="3:12">
      <c r="C1661" s="136"/>
      <c r="D1661" s="136"/>
      <c r="E1661" s="136"/>
      <c r="F1661" s="131"/>
      <c r="G1661" s="131"/>
      <c r="H1661" s="131"/>
      <c r="I1661" s="131"/>
      <c r="L1661" s="135"/>
    </row>
    <row r="1662" spans="3:12">
      <c r="C1662" s="136"/>
      <c r="D1662" s="136"/>
      <c r="E1662" s="136"/>
      <c r="F1662" s="131"/>
      <c r="G1662" s="131"/>
      <c r="H1662" s="131"/>
      <c r="I1662" s="131"/>
      <c r="L1662" s="135"/>
    </row>
    <row r="1663" spans="3:12">
      <c r="C1663" s="136"/>
      <c r="D1663" s="136"/>
      <c r="E1663" s="136"/>
      <c r="F1663" s="131"/>
      <c r="G1663" s="131"/>
      <c r="H1663" s="131"/>
      <c r="I1663" s="131"/>
      <c r="L1663" s="135"/>
    </row>
    <row r="1664" spans="3:12">
      <c r="C1664" s="136"/>
      <c r="D1664" s="136"/>
      <c r="E1664" s="136"/>
      <c r="F1664" s="131"/>
      <c r="G1664" s="131"/>
      <c r="H1664" s="131"/>
      <c r="I1664" s="131"/>
      <c r="L1664" s="135"/>
    </row>
    <row r="1665" spans="3:12">
      <c r="C1665" s="136"/>
      <c r="D1665" s="136"/>
      <c r="E1665" s="136"/>
      <c r="F1665" s="131"/>
      <c r="G1665" s="131"/>
      <c r="H1665" s="131"/>
      <c r="I1665" s="131"/>
      <c r="L1665" s="135"/>
    </row>
    <row r="1666" spans="3:12">
      <c r="C1666" s="136"/>
      <c r="D1666" s="136"/>
      <c r="E1666" s="136"/>
      <c r="F1666" s="131"/>
      <c r="G1666" s="131"/>
      <c r="H1666" s="131"/>
      <c r="I1666" s="131"/>
      <c r="L1666" s="135"/>
    </row>
    <row r="1667" spans="3:12">
      <c r="C1667" s="136"/>
      <c r="D1667" s="136"/>
      <c r="E1667" s="136"/>
      <c r="F1667" s="131"/>
      <c r="G1667" s="131"/>
      <c r="H1667" s="131"/>
      <c r="I1667" s="131"/>
      <c r="L1667" s="135"/>
    </row>
    <row r="1668" spans="3:12">
      <c r="C1668" s="136"/>
      <c r="D1668" s="136"/>
      <c r="E1668" s="136"/>
      <c r="F1668" s="131"/>
      <c r="G1668" s="131"/>
      <c r="H1668" s="131"/>
      <c r="I1668" s="131"/>
      <c r="L1668" s="135"/>
    </row>
    <row r="1669" spans="3:12">
      <c r="C1669" s="136"/>
      <c r="D1669" s="136"/>
      <c r="E1669" s="136"/>
      <c r="F1669" s="131"/>
      <c r="G1669" s="131"/>
      <c r="H1669" s="131"/>
      <c r="I1669" s="131"/>
      <c r="L1669" s="135"/>
    </row>
    <row r="1670" spans="3:12">
      <c r="C1670" s="136"/>
      <c r="D1670" s="136"/>
      <c r="E1670" s="136"/>
      <c r="F1670" s="131"/>
      <c r="G1670" s="131"/>
      <c r="H1670" s="131"/>
      <c r="I1670" s="131"/>
      <c r="L1670" s="135"/>
    </row>
    <row r="1671" spans="3:12">
      <c r="C1671" s="136"/>
      <c r="D1671" s="136"/>
      <c r="E1671" s="136"/>
      <c r="F1671" s="131"/>
      <c r="G1671" s="131"/>
      <c r="H1671" s="131"/>
      <c r="I1671" s="131"/>
      <c r="L1671" s="135"/>
    </row>
    <row r="1672" spans="3:12">
      <c r="C1672" s="136"/>
      <c r="D1672" s="136"/>
      <c r="E1672" s="136"/>
      <c r="F1672" s="131"/>
      <c r="G1672" s="131"/>
      <c r="H1672" s="131"/>
      <c r="I1672" s="131"/>
      <c r="L1672" s="135"/>
    </row>
    <row r="1673" spans="3:12">
      <c r="C1673" s="136"/>
      <c r="D1673" s="136"/>
      <c r="E1673" s="136"/>
      <c r="F1673" s="131"/>
      <c r="G1673" s="131"/>
      <c r="H1673" s="131"/>
      <c r="I1673" s="131"/>
      <c r="L1673" s="135"/>
    </row>
    <row r="1674" spans="3:12">
      <c r="C1674" s="136"/>
      <c r="D1674" s="136"/>
      <c r="E1674" s="136"/>
      <c r="F1674" s="131"/>
      <c r="G1674" s="131"/>
      <c r="H1674" s="131"/>
      <c r="I1674" s="131"/>
      <c r="L1674" s="135"/>
    </row>
    <row r="1675" spans="3:12">
      <c r="C1675" s="136"/>
      <c r="D1675" s="136"/>
      <c r="E1675" s="136"/>
      <c r="F1675" s="131"/>
      <c r="G1675" s="131"/>
      <c r="H1675" s="131"/>
      <c r="I1675" s="131"/>
      <c r="L1675" s="135"/>
    </row>
    <row r="1676" spans="3:12">
      <c r="C1676" s="136"/>
      <c r="D1676" s="136"/>
      <c r="E1676" s="136"/>
      <c r="F1676" s="131"/>
      <c r="G1676" s="131"/>
      <c r="H1676" s="131"/>
      <c r="I1676" s="131"/>
      <c r="L1676" s="135"/>
    </row>
    <row r="1677" spans="3:12">
      <c r="C1677" s="136"/>
      <c r="D1677" s="136"/>
      <c r="E1677" s="136"/>
      <c r="F1677" s="131"/>
      <c r="G1677" s="131"/>
      <c r="H1677" s="131"/>
      <c r="I1677" s="131"/>
      <c r="L1677" s="135"/>
    </row>
    <row r="1678" spans="3:12">
      <c r="C1678" s="136"/>
      <c r="D1678" s="136"/>
      <c r="E1678" s="136"/>
      <c r="F1678" s="131"/>
      <c r="G1678" s="131"/>
      <c r="H1678" s="131"/>
      <c r="I1678" s="131"/>
      <c r="L1678" s="135"/>
    </row>
    <row r="1679" spans="3:12">
      <c r="C1679" s="136"/>
      <c r="D1679" s="136"/>
      <c r="E1679" s="136"/>
      <c r="F1679" s="131"/>
      <c r="G1679" s="131"/>
      <c r="H1679" s="131"/>
      <c r="I1679" s="131"/>
      <c r="L1679" s="135"/>
    </row>
    <row r="1680" spans="3:12">
      <c r="C1680" s="136"/>
      <c r="D1680" s="136"/>
      <c r="E1680" s="136"/>
      <c r="F1680" s="131"/>
      <c r="G1680" s="131"/>
      <c r="H1680" s="131"/>
      <c r="I1680" s="131"/>
      <c r="L1680" s="135"/>
    </row>
    <row r="1681" spans="3:12">
      <c r="C1681" s="136"/>
      <c r="D1681" s="136"/>
      <c r="E1681" s="136"/>
      <c r="F1681" s="131"/>
      <c r="G1681" s="131"/>
      <c r="H1681" s="131"/>
      <c r="I1681" s="131"/>
      <c r="L1681" s="135"/>
    </row>
    <row r="1682" spans="3:12">
      <c r="C1682" s="136"/>
      <c r="D1682" s="136"/>
      <c r="E1682" s="136"/>
      <c r="F1682" s="131"/>
      <c r="G1682" s="131"/>
      <c r="H1682" s="131"/>
      <c r="I1682" s="131"/>
      <c r="L1682" s="135"/>
    </row>
    <row r="1683" spans="3:12">
      <c r="C1683" s="136"/>
      <c r="D1683" s="136"/>
      <c r="E1683" s="136"/>
      <c r="F1683" s="131"/>
      <c r="G1683" s="131"/>
      <c r="H1683" s="131"/>
      <c r="I1683" s="131"/>
      <c r="L1683" s="135"/>
    </row>
    <row r="1684" spans="3:12">
      <c r="C1684" s="136"/>
      <c r="D1684" s="136"/>
      <c r="E1684" s="136"/>
      <c r="F1684" s="131"/>
      <c r="G1684" s="131"/>
      <c r="H1684" s="131"/>
      <c r="I1684" s="131"/>
      <c r="L1684" s="135"/>
    </row>
    <row r="1685" spans="3:12">
      <c r="C1685" s="136"/>
      <c r="D1685" s="136"/>
      <c r="E1685" s="136"/>
      <c r="F1685" s="131"/>
      <c r="G1685" s="131"/>
      <c r="H1685" s="131"/>
      <c r="I1685" s="131"/>
      <c r="L1685" s="135"/>
    </row>
    <row r="1686" spans="3:12">
      <c r="C1686" s="136"/>
      <c r="D1686" s="136"/>
      <c r="E1686" s="136"/>
      <c r="F1686" s="131"/>
      <c r="G1686" s="131"/>
      <c r="H1686" s="131"/>
      <c r="I1686" s="131"/>
      <c r="L1686" s="135"/>
    </row>
    <row r="1687" spans="3:12">
      <c r="C1687" s="136"/>
      <c r="D1687" s="136"/>
      <c r="E1687" s="136"/>
      <c r="F1687" s="131"/>
      <c r="G1687" s="131"/>
      <c r="H1687" s="131"/>
      <c r="I1687" s="131"/>
      <c r="L1687" s="135"/>
    </row>
    <row r="1688" spans="3:12">
      <c r="C1688" s="136"/>
      <c r="D1688" s="136"/>
      <c r="E1688" s="136"/>
      <c r="F1688" s="131"/>
      <c r="G1688" s="131"/>
      <c r="H1688" s="131"/>
      <c r="I1688" s="131"/>
      <c r="L1688" s="135"/>
    </row>
    <row r="1689" spans="3:12">
      <c r="C1689" s="136"/>
      <c r="D1689" s="136"/>
      <c r="E1689" s="136"/>
      <c r="F1689" s="131"/>
      <c r="G1689" s="131"/>
      <c r="H1689" s="131"/>
      <c r="I1689" s="131"/>
      <c r="L1689" s="135"/>
    </row>
    <row r="1690" spans="3:12">
      <c r="C1690" s="136"/>
      <c r="D1690" s="136"/>
      <c r="E1690" s="136"/>
      <c r="F1690" s="131"/>
      <c r="G1690" s="131"/>
      <c r="H1690" s="131"/>
      <c r="I1690" s="131"/>
      <c r="L1690" s="135"/>
    </row>
    <row r="1691" spans="3:12">
      <c r="C1691" s="136"/>
      <c r="D1691" s="136"/>
      <c r="E1691" s="136"/>
      <c r="F1691" s="131"/>
      <c r="G1691" s="131"/>
      <c r="H1691" s="131"/>
      <c r="I1691" s="131"/>
      <c r="L1691" s="135"/>
    </row>
    <row r="1692" spans="3:12">
      <c r="C1692" s="136"/>
      <c r="D1692" s="136"/>
      <c r="E1692" s="136"/>
      <c r="F1692" s="131"/>
      <c r="G1692" s="131"/>
      <c r="H1692" s="131"/>
      <c r="I1692" s="131"/>
      <c r="L1692" s="135"/>
    </row>
    <row r="1693" spans="3:12">
      <c r="C1693" s="136"/>
      <c r="D1693" s="136"/>
      <c r="E1693" s="136"/>
      <c r="F1693" s="131"/>
      <c r="G1693" s="131"/>
      <c r="H1693" s="131"/>
      <c r="I1693" s="131"/>
      <c r="L1693" s="135"/>
    </row>
    <row r="1694" spans="3:12">
      <c r="C1694" s="136"/>
      <c r="D1694" s="136"/>
      <c r="E1694" s="136"/>
      <c r="F1694" s="131"/>
      <c r="G1694" s="131"/>
      <c r="H1694" s="131"/>
      <c r="I1694" s="131"/>
      <c r="L1694" s="135"/>
    </row>
    <row r="1695" spans="3:12">
      <c r="C1695" s="136"/>
      <c r="D1695" s="136"/>
      <c r="E1695" s="136"/>
      <c r="F1695" s="131"/>
      <c r="G1695" s="131"/>
      <c r="H1695" s="131"/>
      <c r="I1695" s="131"/>
      <c r="L1695" s="135"/>
    </row>
    <row r="1696" spans="3:12">
      <c r="C1696" s="136"/>
      <c r="D1696" s="136"/>
      <c r="E1696" s="136"/>
      <c r="F1696" s="131"/>
      <c r="G1696" s="131"/>
      <c r="H1696" s="131"/>
      <c r="I1696" s="131"/>
      <c r="L1696" s="135"/>
    </row>
    <row r="1697" spans="3:12">
      <c r="C1697" s="136"/>
      <c r="D1697" s="136"/>
      <c r="E1697" s="136"/>
      <c r="F1697" s="131"/>
      <c r="G1697" s="131"/>
      <c r="H1697" s="131"/>
      <c r="I1697" s="131"/>
      <c r="L1697" s="135"/>
    </row>
    <row r="1698" spans="3:12">
      <c r="C1698" s="136"/>
      <c r="D1698" s="136"/>
      <c r="E1698" s="136"/>
      <c r="F1698" s="131"/>
      <c r="G1698" s="131"/>
      <c r="H1698" s="131"/>
      <c r="I1698" s="131"/>
      <c r="L1698" s="135"/>
    </row>
    <row r="1699" spans="3:12">
      <c r="C1699" s="136"/>
      <c r="D1699" s="136"/>
      <c r="E1699" s="136"/>
      <c r="F1699" s="131"/>
      <c r="G1699" s="131"/>
      <c r="H1699" s="131"/>
      <c r="I1699" s="131"/>
      <c r="L1699" s="135"/>
    </row>
    <row r="1700" spans="3:12">
      <c r="C1700" s="136"/>
      <c r="D1700" s="136"/>
      <c r="E1700" s="136"/>
      <c r="F1700" s="131"/>
      <c r="G1700" s="131"/>
      <c r="H1700" s="131"/>
      <c r="I1700" s="131"/>
      <c r="L1700" s="135"/>
    </row>
    <row r="1701" spans="3:12">
      <c r="C1701" s="136"/>
      <c r="D1701" s="136"/>
      <c r="E1701" s="136"/>
      <c r="F1701" s="131"/>
      <c r="G1701" s="131"/>
      <c r="H1701" s="131"/>
      <c r="I1701" s="131"/>
      <c r="L1701" s="135"/>
    </row>
    <row r="1702" spans="3:12">
      <c r="C1702" s="136"/>
      <c r="D1702" s="136"/>
      <c r="E1702" s="136"/>
      <c r="F1702" s="131"/>
      <c r="G1702" s="131"/>
      <c r="H1702" s="131"/>
      <c r="I1702" s="131"/>
      <c r="L1702" s="135"/>
    </row>
    <row r="1703" spans="3:12">
      <c r="C1703" s="136"/>
      <c r="D1703" s="136"/>
      <c r="E1703" s="136"/>
      <c r="F1703" s="131"/>
      <c r="G1703" s="131"/>
      <c r="H1703" s="131"/>
      <c r="I1703" s="131"/>
      <c r="L1703" s="135"/>
    </row>
    <row r="1704" spans="3:12">
      <c r="C1704" s="136"/>
      <c r="D1704" s="136"/>
      <c r="E1704" s="136"/>
      <c r="F1704" s="131"/>
      <c r="G1704" s="131"/>
      <c r="H1704" s="131"/>
      <c r="I1704" s="131"/>
      <c r="L1704" s="135"/>
    </row>
    <row r="1705" spans="3:12">
      <c r="C1705" s="136"/>
      <c r="D1705" s="136"/>
      <c r="E1705" s="136"/>
      <c r="F1705" s="131"/>
      <c r="G1705" s="131"/>
      <c r="H1705" s="131"/>
      <c r="I1705" s="131"/>
      <c r="L1705" s="135"/>
    </row>
    <row r="1706" spans="3:12">
      <c r="C1706" s="136"/>
      <c r="D1706" s="136"/>
      <c r="E1706" s="136"/>
      <c r="F1706" s="131"/>
      <c r="G1706" s="131"/>
      <c r="H1706" s="131"/>
      <c r="I1706" s="131"/>
      <c r="L1706" s="135"/>
    </row>
    <row r="1707" spans="3:12">
      <c r="C1707" s="136"/>
      <c r="D1707" s="136"/>
      <c r="E1707" s="136"/>
      <c r="F1707" s="131"/>
      <c r="G1707" s="131"/>
      <c r="H1707" s="131"/>
      <c r="I1707" s="131"/>
      <c r="L1707" s="135"/>
    </row>
    <row r="1708" spans="3:12">
      <c r="C1708" s="136"/>
      <c r="D1708" s="136"/>
      <c r="E1708" s="136"/>
      <c r="F1708" s="131"/>
      <c r="G1708" s="131"/>
      <c r="H1708" s="131"/>
      <c r="I1708" s="131"/>
      <c r="L1708" s="135"/>
    </row>
    <row r="1709" spans="3:12">
      <c r="C1709" s="136"/>
      <c r="D1709" s="136"/>
      <c r="E1709" s="136"/>
      <c r="F1709" s="131"/>
      <c r="G1709" s="131"/>
      <c r="H1709" s="131"/>
      <c r="I1709" s="131"/>
      <c r="L1709" s="135"/>
    </row>
    <row r="1710" spans="3:12">
      <c r="C1710" s="136"/>
      <c r="D1710" s="136"/>
      <c r="E1710" s="136"/>
      <c r="F1710" s="131"/>
      <c r="G1710" s="131"/>
      <c r="H1710" s="131"/>
      <c r="I1710" s="131"/>
      <c r="L1710" s="135"/>
    </row>
    <row r="1711" spans="3:12">
      <c r="C1711" s="136"/>
      <c r="D1711" s="136"/>
      <c r="E1711" s="136"/>
      <c r="F1711" s="131"/>
      <c r="G1711" s="131"/>
      <c r="H1711" s="131"/>
      <c r="I1711" s="131"/>
      <c r="L1711" s="135"/>
    </row>
    <row r="1712" spans="3:12">
      <c r="C1712" s="136"/>
      <c r="D1712" s="136"/>
      <c r="E1712" s="136"/>
      <c r="F1712" s="131"/>
      <c r="G1712" s="131"/>
      <c r="H1712" s="131"/>
      <c r="I1712" s="131"/>
      <c r="L1712" s="135"/>
    </row>
    <row r="1713" spans="3:12">
      <c r="C1713" s="136"/>
      <c r="D1713" s="136"/>
      <c r="E1713" s="136"/>
      <c r="F1713" s="131"/>
      <c r="G1713" s="131"/>
      <c r="H1713" s="131"/>
      <c r="I1713" s="131"/>
      <c r="L1713" s="135"/>
    </row>
    <row r="1714" spans="3:12">
      <c r="C1714" s="136"/>
      <c r="D1714" s="136"/>
      <c r="E1714" s="136"/>
      <c r="F1714" s="131"/>
      <c r="G1714" s="131"/>
      <c r="H1714" s="131"/>
      <c r="I1714" s="131"/>
      <c r="L1714" s="135"/>
    </row>
    <row r="1715" spans="3:12">
      <c r="C1715" s="136"/>
      <c r="D1715" s="136"/>
      <c r="E1715" s="136"/>
      <c r="F1715" s="131"/>
      <c r="G1715" s="131"/>
      <c r="H1715" s="131"/>
      <c r="I1715" s="131"/>
      <c r="L1715" s="135"/>
    </row>
    <row r="1716" spans="3:12">
      <c r="C1716" s="136"/>
      <c r="D1716" s="136"/>
      <c r="E1716" s="136"/>
      <c r="F1716" s="131"/>
      <c r="G1716" s="131"/>
      <c r="H1716" s="131"/>
      <c r="I1716" s="131"/>
      <c r="L1716" s="135"/>
    </row>
    <row r="1717" spans="3:12">
      <c r="C1717" s="136"/>
      <c r="D1717" s="136"/>
      <c r="E1717" s="136"/>
      <c r="F1717" s="131"/>
      <c r="G1717" s="131"/>
      <c r="H1717" s="131"/>
      <c r="I1717" s="131"/>
      <c r="L1717" s="135"/>
    </row>
    <row r="1718" spans="3:12">
      <c r="C1718" s="136"/>
      <c r="D1718" s="136"/>
      <c r="E1718" s="136"/>
      <c r="F1718" s="131"/>
      <c r="G1718" s="131"/>
      <c r="H1718" s="131"/>
      <c r="I1718" s="131"/>
      <c r="L1718" s="135"/>
    </row>
    <row r="1719" spans="3:12">
      <c r="C1719" s="136"/>
      <c r="D1719" s="136"/>
      <c r="E1719" s="136"/>
      <c r="F1719" s="131"/>
      <c r="G1719" s="131"/>
      <c r="H1719" s="131"/>
      <c r="I1719" s="131"/>
      <c r="L1719" s="135"/>
    </row>
    <row r="1720" spans="3:12">
      <c r="C1720" s="136"/>
      <c r="D1720" s="136"/>
      <c r="E1720" s="136"/>
      <c r="F1720" s="131"/>
      <c r="G1720" s="131"/>
      <c r="H1720" s="131"/>
      <c r="I1720" s="131"/>
      <c r="L1720" s="135"/>
    </row>
    <row r="1721" spans="3:12">
      <c r="C1721" s="136"/>
      <c r="D1721" s="136"/>
      <c r="E1721" s="136"/>
      <c r="F1721" s="131"/>
      <c r="G1721" s="131"/>
      <c r="H1721" s="131"/>
      <c r="I1721" s="131"/>
      <c r="L1721" s="135"/>
    </row>
    <row r="1722" spans="3:12">
      <c r="C1722" s="136"/>
      <c r="D1722" s="136"/>
      <c r="E1722" s="136"/>
      <c r="F1722" s="131"/>
      <c r="G1722" s="131"/>
      <c r="H1722" s="131"/>
      <c r="I1722" s="131"/>
      <c r="L1722" s="135"/>
    </row>
    <row r="1723" spans="3:12">
      <c r="C1723" s="136"/>
      <c r="D1723" s="136"/>
      <c r="E1723" s="136"/>
      <c r="F1723" s="131"/>
      <c r="G1723" s="131"/>
      <c r="H1723" s="131"/>
      <c r="I1723" s="131"/>
      <c r="L1723" s="135"/>
    </row>
    <row r="1724" spans="3:12">
      <c r="C1724" s="136"/>
      <c r="D1724" s="136"/>
      <c r="E1724" s="136"/>
      <c r="F1724" s="131"/>
      <c r="G1724" s="131"/>
      <c r="H1724" s="131"/>
      <c r="I1724" s="131"/>
      <c r="L1724" s="135"/>
    </row>
    <row r="1725" spans="3:12">
      <c r="C1725" s="136"/>
      <c r="D1725" s="136"/>
      <c r="E1725" s="136"/>
      <c r="F1725" s="131"/>
      <c r="G1725" s="131"/>
      <c r="H1725" s="131"/>
      <c r="I1725" s="131"/>
      <c r="L1725" s="135"/>
    </row>
    <row r="1726" spans="3:12">
      <c r="C1726" s="136"/>
      <c r="D1726" s="136"/>
      <c r="E1726" s="136"/>
      <c r="F1726" s="131"/>
      <c r="G1726" s="131"/>
      <c r="H1726" s="131"/>
      <c r="I1726" s="131"/>
      <c r="L1726" s="135"/>
    </row>
    <row r="1727" spans="3:12">
      <c r="C1727" s="136"/>
      <c r="D1727" s="136"/>
      <c r="E1727" s="136"/>
      <c r="F1727" s="131"/>
      <c r="G1727" s="131"/>
      <c r="H1727" s="131"/>
      <c r="I1727" s="131"/>
      <c r="L1727" s="135"/>
    </row>
    <row r="1728" spans="3:12">
      <c r="C1728" s="136"/>
      <c r="D1728" s="136"/>
      <c r="E1728" s="136"/>
      <c r="F1728" s="131"/>
      <c r="G1728" s="131"/>
      <c r="H1728" s="131"/>
      <c r="I1728" s="131"/>
      <c r="L1728" s="135"/>
    </row>
    <row r="1729" spans="3:12">
      <c r="C1729" s="136"/>
      <c r="D1729" s="136"/>
      <c r="E1729" s="136"/>
      <c r="F1729" s="131"/>
      <c r="G1729" s="131"/>
      <c r="H1729" s="131"/>
      <c r="I1729" s="131"/>
      <c r="L1729" s="135"/>
    </row>
    <row r="1730" spans="3:12">
      <c r="C1730" s="136"/>
      <c r="D1730" s="136"/>
      <c r="E1730" s="136"/>
      <c r="F1730" s="131"/>
      <c r="G1730" s="131"/>
      <c r="H1730" s="131"/>
      <c r="I1730" s="131"/>
      <c r="L1730" s="135"/>
    </row>
    <row r="1731" spans="3:12">
      <c r="C1731" s="136"/>
      <c r="D1731" s="136"/>
      <c r="E1731" s="136"/>
      <c r="F1731" s="131"/>
      <c r="G1731" s="131"/>
      <c r="H1731" s="131"/>
      <c r="I1731" s="131"/>
      <c r="L1731" s="135"/>
    </row>
    <row r="1732" spans="3:12">
      <c r="C1732" s="136"/>
      <c r="D1732" s="136"/>
      <c r="E1732" s="136"/>
      <c r="F1732" s="131"/>
      <c r="G1732" s="131"/>
      <c r="H1732" s="131"/>
      <c r="I1732" s="131"/>
      <c r="L1732" s="135"/>
    </row>
    <row r="1733" spans="3:12">
      <c r="C1733" s="136"/>
      <c r="D1733" s="136"/>
      <c r="E1733" s="136"/>
      <c r="F1733" s="131"/>
      <c r="G1733" s="131"/>
      <c r="H1733" s="131"/>
      <c r="I1733" s="131"/>
      <c r="L1733" s="135"/>
    </row>
    <row r="1734" spans="3:12">
      <c r="C1734" s="136"/>
      <c r="D1734" s="136"/>
      <c r="E1734" s="136"/>
      <c r="F1734" s="131"/>
      <c r="G1734" s="131"/>
      <c r="H1734" s="131"/>
      <c r="I1734" s="131"/>
      <c r="L1734" s="135"/>
    </row>
    <row r="1735" spans="3:12">
      <c r="C1735" s="136"/>
      <c r="D1735" s="136"/>
      <c r="E1735" s="136"/>
      <c r="F1735" s="131"/>
      <c r="G1735" s="131"/>
      <c r="H1735" s="131"/>
      <c r="I1735" s="131"/>
      <c r="L1735" s="135"/>
    </row>
    <row r="1736" spans="3:12">
      <c r="C1736" s="136"/>
      <c r="D1736" s="136"/>
      <c r="E1736" s="136"/>
      <c r="F1736" s="131"/>
      <c r="G1736" s="131"/>
      <c r="H1736" s="131"/>
      <c r="I1736" s="131"/>
      <c r="L1736" s="135"/>
    </row>
    <row r="1737" spans="3:12">
      <c r="C1737" s="136"/>
      <c r="D1737" s="136"/>
      <c r="E1737" s="136"/>
      <c r="F1737" s="131"/>
      <c r="G1737" s="131"/>
      <c r="H1737" s="131"/>
      <c r="I1737" s="131"/>
      <c r="L1737" s="135"/>
    </row>
    <row r="1738" spans="3:12">
      <c r="C1738" s="136"/>
      <c r="D1738" s="136"/>
      <c r="E1738" s="136"/>
      <c r="F1738" s="131"/>
      <c r="G1738" s="131"/>
      <c r="H1738" s="131"/>
      <c r="I1738" s="131"/>
      <c r="L1738" s="135"/>
    </row>
    <row r="1739" spans="3:12">
      <c r="C1739" s="136"/>
      <c r="D1739" s="136"/>
      <c r="E1739" s="136"/>
      <c r="F1739" s="131"/>
      <c r="G1739" s="131"/>
      <c r="H1739" s="131"/>
      <c r="I1739" s="131"/>
      <c r="L1739" s="135"/>
    </row>
    <row r="1740" spans="3:12">
      <c r="C1740" s="136"/>
      <c r="D1740" s="136"/>
      <c r="E1740" s="136"/>
      <c r="F1740" s="131"/>
      <c r="G1740" s="131"/>
      <c r="H1740" s="131"/>
      <c r="I1740" s="131"/>
      <c r="L1740" s="135"/>
    </row>
    <row r="1741" spans="3:12">
      <c r="C1741" s="136"/>
      <c r="D1741" s="136"/>
      <c r="E1741" s="136"/>
      <c r="F1741" s="131"/>
      <c r="G1741" s="131"/>
      <c r="H1741" s="131"/>
      <c r="I1741" s="131"/>
      <c r="L1741" s="135"/>
    </row>
    <row r="1742" spans="3:12">
      <c r="C1742" s="136"/>
      <c r="D1742" s="136"/>
      <c r="E1742" s="136"/>
      <c r="F1742" s="131"/>
      <c r="G1742" s="131"/>
      <c r="H1742" s="131"/>
      <c r="I1742" s="131"/>
      <c r="L1742" s="135"/>
    </row>
    <row r="1743" spans="3:12">
      <c r="C1743" s="136"/>
      <c r="D1743" s="136"/>
      <c r="E1743" s="136"/>
      <c r="F1743" s="131"/>
      <c r="G1743" s="131"/>
      <c r="H1743" s="131"/>
      <c r="I1743" s="131"/>
      <c r="L1743" s="135"/>
    </row>
    <row r="1744" spans="3:12">
      <c r="C1744" s="136"/>
      <c r="D1744" s="136"/>
      <c r="E1744" s="136"/>
      <c r="F1744" s="131"/>
      <c r="G1744" s="131"/>
      <c r="H1744" s="131"/>
      <c r="I1744" s="131"/>
      <c r="L1744" s="135"/>
    </row>
    <row r="1745" spans="3:12">
      <c r="C1745" s="136"/>
      <c r="D1745" s="136"/>
      <c r="E1745" s="136"/>
      <c r="F1745" s="131"/>
      <c r="G1745" s="131"/>
      <c r="H1745" s="131"/>
      <c r="I1745" s="131"/>
      <c r="L1745" s="135"/>
    </row>
    <row r="1746" spans="3:12">
      <c r="C1746" s="136"/>
      <c r="D1746" s="136"/>
      <c r="E1746" s="136"/>
      <c r="F1746" s="131"/>
      <c r="G1746" s="131"/>
      <c r="H1746" s="131"/>
      <c r="I1746" s="131"/>
      <c r="L1746" s="135"/>
    </row>
    <row r="1747" spans="3:12">
      <c r="C1747" s="136"/>
      <c r="D1747" s="136"/>
      <c r="E1747" s="136"/>
      <c r="F1747" s="131"/>
      <c r="G1747" s="131"/>
      <c r="H1747" s="131"/>
      <c r="I1747" s="131"/>
      <c r="L1747" s="135"/>
    </row>
    <row r="1748" spans="3:12">
      <c r="C1748" s="136"/>
      <c r="D1748" s="136"/>
      <c r="E1748" s="136"/>
      <c r="F1748" s="131"/>
      <c r="G1748" s="131"/>
      <c r="H1748" s="131"/>
      <c r="I1748" s="131"/>
      <c r="L1748" s="135"/>
    </row>
    <row r="1749" spans="3:12">
      <c r="C1749" s="136"/>
      <c r="D1749" s="136"/>
      <c r="E1749" s="136"/>
      <c r="F1749" s="131"/>
      <c r="G1749" s="131"/>
      <c r="H1749" s="131"/>
      <c r="I1749" s="131"/>
      <c r="L1749" s="135"/>
    </row>
    <row r="1750" spans="3:12">
      <c r="C1750" s="136"/>
      <c r="D1750" s="136"/>
      <c r="E1750" s="136"/>
      <c r="F1750" s="131"/>
      <c r="G1750" s="131"/>
      <c r="H1750" s="131"/>
      <c r="I1750" s="131"/>
      <c r="L1750" s="135"/>
    </row>
    <row r="1751" spans="3:12">
      <c r="C1751" s="136"/>
      <c r="D1751" s="136"/>
      <c r="E1751" s="136"/>
      <c r="F1751" s="131"/>
      <c r="G1751" s="131"/>
      <c r="H1751" s="131"/>
      <c r="I1751" s="131"/>
      <c r="L1751" s="135"/>
    </row>
    <row r="1752" spans="3:12">
      <c r="C1752" s="136"/>
      <c r="D1752" s="136"/>
      <c r="E1752" s="136"/>
      <c r="F1752" s="131"/>
      <c r="G1752" s="131"/>
      <c r="H1752" s="131"/>
      <c r="I1752" s="131"/>
      <c r="L1752" s="135"/>
    </row>
    <row r="1753" spans="3:12">
      <c r="C1753" s="136"/>
      <c r="D1753" s="136"/>
      <c r="E1753" s="136"/>
      <c r="F1753" s="131"/>
      <c r="G1753" s="131"/>
      <c r="H1753" s="131"/>
      <c r="I1753" s="131"/>
      <c r="L1753" s="135"/>
    </row>
    <row r="1754" spans="3:12">
      <c r="C1754" s="136"/>
      <c r="D1754" s="136"/>
      <c r="E1754" s="136"/>
      <c r="F1754" s="131"/>
      <c r="G1754" s="131"/>
      <c r="H1754" s="131"/>
      <c r="I1754" s="131"/>
      <c r="L1754" s="135"/>
    </row>
    <row r="1755" spans="3:12">
      <c r="C1755" s="136"/>
      <c r="D1755" s="136"/>
      <c r="E1755" s="136"/>
      <c r="F1755" s="131"/>
      <c r="G1755" s="131"/>
      <c r="H1755" s="131"/>
      <c r="I1755" s="131"/>
      <c r="L1755" s="135"/>
    </row>
    <row r="1756" spans="3:12">
      <c r="C1756" s="136"/>
      <c r="D1756" s="136"/>
      <c r="E1756" s="136"/>
      <c r="F1756" s="131"/>
      <c r="G1756" s="131"/>
      <c r="H1756" s="131"/>
      <c r="I1756" s="131"/>
      <c r="L1756" s="135"/>
    </row>
    <row r="1757" spans="3:12">
      <c r="C1757" s="136"/>
      <c r="D1757" s="136"/>
      <c r="E1757" s="136"/>
      <c r="F1757" s="131"/>
      <c r="G1757" s="131"/>
      <c r="H1757" s="131"/>
      <c r="I1757" s="131"/>
      <c r="L1757" s="135"/>
    </row>
    <row r="1758" spans="3:12">
      <c r="L1758" s="135"/>
    </row>
    <row r="1759" spans="3:12">
      <c r="L1759" s="135"/>
    </row>
    <row r="1760" spans="3:12">
      <c r="L1760" s="135"/>
    </row>
    <row r="1761" spans="12:12">
      <c r="L1761" s="135"/>
    </row>
    <row r="1762" spans="12:12">
      <c r="L1762" s="135"/>
    </row>
    <row r="1763" spans="12:12">
      <c r="L1763" s="135"/>
    </row>
    <row r="1764" spans="12:12">
      <c r="L1764" s="135"/>
    </row>
    <row r="1765" spans="12:12">
      <c r="L1765" s="135"/>
    </row>
    <row r="1766" spans="12:12">
      <c r="L1766" s="135"/>
    </row>
    <row r="1767" spans="12:12">
      <c r="L1767" s="135"/>
    </row>
    <row r="1768" spans="12:12">
      <c r="L1768" s="135"/>
    </row>
    <row r="1769" spans="12:12">
      <c r="L1769" s="135"/>
    </row>
    <row r="1770" spans="12:12">
      <c r="L1770" s="135"/>
    </row>
    <row r="1771" spans="12:12">
      <c r="L1771" s="135"/>
    </row>
    <row r="1772" spans="12:12">
      <c r="L1772" s="135"/>
    </row>
    <row r="1773" spans="12:12">
      <c r="L1773" s="135"/>
    </row>
    <row r="1774" spans="12:12">
      <c r="L1774" s="135"/>
    </row>
    <row r="1775" spans="12:12">
      <c r="L1775" s="135"/>
    </row>
    <row r="1776" spans="12:12">
      <c r="L1776" s="135"/>
    </row>
    <row r="1777" spans="12:12">
      <c r="L1777" s="135"/>
    </row>
    <row r="1778" spans="12:12">
      <c r="L1778" s="135"/>
    </row>
    <row r="1779" spans="12:12">
      <c r="L1779" s="135"/>
    </row>
    <row r="1780" spans="12:12">
      <c r="L1780" s="135"/>
    </row>
    <row r="1781" spans="12:12">
      <c r="L1781" s="135"/>
    </row>
    <row r="1782" spans="12:12">
      <c r="L1782" s="135"/>
    </row>
    <row r="1783" spans="12:12">
      <c r="L1783" s="135"/>
    </row>
    <row r="1784" spans="12:12">
      <c r="L1784" s="135"/>
    </row>
    <row r="1785" spans="12:12">
      <c r="L1785" s="135"/>
    </row>
    <row r="1786" spans="12:12">
      <c r="L1786" s="135"/>
    </row>
    <row r="1787" spans="12:12">
      <c r="L1787" s="135"/>
    </row>
    <row r="1788" spans="12:12">
      <c r="L1788" s="135"/>
    </row>
    <row r="1789" spans="12:12">
      <c r="L1789" s="135"/>
    </row>
    <row r="1790" spans="12:12">
      <c r="L1790" s="135"/>
    </row>
    <row r="1791" spans="12:12">
      <c r="L1791" s="135"/>
    </row>
    <row r="1792" spans="12:12">
      <c r="L1792" s="135"/>
    </row>
    <row r="1793" spans="12:12">
      <c r="L1793" s="135"/>
    </row>
    <row r="1794" spans="12:12">
      <c r="L1794" s="135"/>
    </row>
    <row r="1795" spans="12:12">
      <c r="L1795" s="135"/>
    </row>
    <row r="1796" spans="12:12">
      <c r="L1796" s="135"/>
    </row>
    <row r="1797" spans="12:12">
      <c r="L1797" s="135"/>
    </row>
    <row r="1798" spans="12:12">
      <c r="L1798" s="135"/>
    </row>
    <row r="1799" spans="12:12">
      <c r="L1799" s="135"/>
    </row>
    <row r="1800" spans="12:12">
      <c r="L1800" s="135"/>
    </row>
    <row r="1801" spans="12:12">
      <c r="L1801" s="135"/>
    </row>
    <row r="1802" spans="12:12">
      <c r="L1802" s="135"/>
    </row>
    <row r="1803" spans="12:12">
      <c r="L1803" s="135"/>
    </row>
    <row r="1804" spans="12:12">
      <c r="L1804" s="135"/>
    </row>
    <row r="1805" spans="12:12">
      <c r="L1805" s="135"/>
    </row>
    <row r="1806" spans="12:12">
      <c r="L1806" s="135"/>
    </row>
    <row r="1807" spans="12:12">
      <c r="L1807" s="135"/>
    </row>
    <row r="1808" spans="12:12">
      <c r="L1808" s="135"/>
    </row>
    <row r="1809" spans="12:12">
      <c r="L1809" s="135"/>
    </row>
    <row r="1810" spans="12:12">
      <c r="L1810" s="135"/>
    </row>
    <row r="1811" spans="12:12">
      <c r="L1811" s="135"/>
    </row>
    <row r="1812" spans="12:12">
      <c r="L1812" s="135"/>
    </row>
    <row r="1813" spans="12:12">
      <c r="L1813" s="135"/>
    </row>
    <row r="1814" spans="12:12">
      <c r="L1814" s="135"/>
    </row>
    <row r="1815" spans="12:12">
      <c r="L1815" s="135"/>
    </row>
    <row r="1816" spans="12:12">
      <c r="L1816" s="135"/>
    </row>
    <row r="1817" spans="12:12">
      <c r="L1817" s="135"/>
    </row>
    <row r="1818" spans="12:12">
      <c r="L1818" s="135"/>
    </row>
    <row r="1819" spans="12:12">
      <c r="L1819" s="135"/>
    </row>
    <row r="1820" spans="12:12">
      <c r="L1820" s="135"/>
    </row>
    <row r="1821" spans="12:12">
      <c r="L1821" s="135"/>
    </row>
    <row r="1822" spans="12:12">
      <c r="L1822" s="135"/>
    </row>
    <row r="1823" spans="12:12">
      <c r="L1823" s="135"/>
    </row>
    <row r="1824" spans="12:12">
      <c r="L1824" s="135"/>
    </row>
    <row r="1825" spans="12:12">
      <c r="L1825" s="135"/>
    </row>
    <row r="1826" spans="12:12">
      <c r="L1826" s="135"/>
    </row>
    <row r="1827" spans="12:12">
      <c r="L1827" s="135"/>
    </row>
    <row r="1828" spans="12:12">
      <c r="L1828" s="135"/>
    </row>
    <row r="1829" spans="12:12">
      <c r="L1829" s="135"/>
    </row>
    <row r="1830" spans="12:12">
      <c r="L1830" s="135"/>
    </row>
    <row r="1831" spans="12:12">
      <c r="L1831" s="135"/>
    </row>
    <row r="1832" spans="12:12">
      <c r="L1832" s="135"/>
    </row>
    <row r="1833" spans="12:12">
      <c r="L1833" s="135"/>
    </row>
    <row r="1834" spans="12:12">
      <c r="L1834" s="135"/>
    </row>
    <row r="1835" spans="12:12">
      <c r="L1835" s="135"/>
    </row>
    <row r="1836" spans="12:12">
      <c r="L1836" s="135"/>
    </row>
    <row r="1837" spans="12:12">
      <c r="L1837" s="135"/>
    </row>
    <row r="1838" spans="12:12">
      <c r="L1838" s="135"/>
    </row>
    <row r="1839" spans="12:12">
      <c r="L1839" s="135"/>
    </row>
    <row r="1840" spans="12:12">
      <c r="L1840" s="135"/>
    </row>
    <row r="1841" spans="12:12">
      <c r="L1841" s="135"/>
    </row>
    <row r="1842" spans="12:12">
      <c r="L1842" s="135"/>
    </row>
    <row r="1843" spans="12:12">
      <c r="L1843" s="135"/>
    </row>
    <row r="1844" spans="12:12">
      <c r="L1844" s="135"/>
    </row>
    <row r="1845" spans="12:12">
      <c r="L1845" s="135"/>
    </row>
    <row r="1846" spans="12:12">
      <c r="L1846" s="135"/>
    </row>
    <row r="1847" spans="12:12">
      <c r="L1847" s="135"/>
    </row>
    <row r="1848" spans="12:12">
      <c r="L1848" s="135"/>
    </row>
    <row r="1849" spans="12:12">
      <c r="L1849" s="135"/>
    </row>
    <row r="1850" spans="12:12">
      <c r="L1850" s="135"/>
    </row>
    <row r="1851" spans="12:12">
      <c r="L1851" s="135"/>
    </row>
    <row r="1852" spans="12:12">
      <c r="L1852" s="135"/>
    </row>
    <row r="1853" spans="12:12">
      <c r="L1853" s="135"/>
    </row>
    <row r="1854" spans="12:12">
      <c r="L1854" s="135"/>
    </row>
    <row r="1855" spans="12:12">
      <c r="L1855" s="135"/>
    </row>
    <row r="1856" spans="12:12">
      <c r="L1856" s="135"/>
    </row>
    <row r="1857" spans="12:12">
      <c r="L1857" s="135"/>
    </row>
    <row r="1858" spans="12:12">
      <c r="L1858" s="135"/>
    </row>
    <row r="1859" spans="12:12">
      <c r="L1859" s="135"/>
    </row>
    <row r="1860" spans="12:12">
      <c r="L1860" s="135"/>
    </row>
    <row r="1861" spans="12:12">
      <c r="L1861" s="135"/>
    </row>
    <row r="1862" spans="12:12">
      <c r="L1862" s="135"/>
    </row>
    <row r="1863" spans="12:12">
      <c r="L1863" s="135"/>
    </row>
    <row r="1864" spans="12:12">
      <c r="L1864" s="135"/>
    </row>
    <row r="1865" spans="12:12">
      <c r="L1865" s="135"/>
    </row>
    <row r="1866" spans="12:12">
      <c r="L1866" s="135"/>
    </row>
    <row r="1867" spans="12:12">
      <c r="L1867" s="135"/>
    </row>
    <row r="1868" spans="12:12">
      <c r="L1868" s="135"/>
    </row>
    <row r="1869" spans="12:12">
      <c r="L1869" s="135"/>
    </row>
    <row r="1870" spans="12:12">
      <c r="L1870" s="135"/>
    </row>
    <row r="1871" spans="12:12">
      <c r="L1871" s="135"/>
    </row>
    <row r="1872" spans="12:12">
      <c r="L1872" s="135"/>
    </row>
    <row r="1873" spans="12:12">
      <c r="L1873" s="135"/>
    </row>
    <row r="1874" spans="12:12">
      <c r="L1874" s="135"/>
    </row>
    <row r="1875" spans="12:12">
      <c r="L1875" s="135"/>
    </row>
    <row r="1876" spans="12:12">
      <c r="L1876" s="135"/>
    </row>
    <row r="1877" spans="12:12">
      <c r="L1877" s="135"/>
    </row>
    <row r="1878" spans="12:12">
      <c r="L1878" s="135"/>
    </row>
    <row r="1879" spans="12:12">
      <c r="L1879" s="135"/>
    </row>
    <row r="1880" spans="12:12">
      <c r="L1880" s="135"/>
    </row>
    <row r="1881" spans="12:12">
      <c r="L1881" s="135"/>
    </row>
    <row r="1882" spans="12:12">
      <c r="L1882" s="135"/>
    </row>
    <row r="1883" spans="12:12">
      <c r="L1883" s="135"/>
    </row>
    <row r="1884" spans="12:12">
      <c r="L1884" s="135"/>
    </row>
    <row r="1885" spans="12:12">
      <c r="L1885" s="135"/>
    </row>
    <row r="1886" spans="12:12">
      <c r="L1886" s="135"/>
    </row>
    <row r="1887" spans="12:12">
      <c r="L1887" s="135"/>
    </row>
    <row r="1888" spans="12:12">
      <c r="L1888" s="135"/>
    </row>
    <row r="1889" spans="12:12">
      <c r="L1889" s="135"/>
    </row>
    <row r="1890" spans="12:12">
      <c r="L1890" s="135"/>
    </row>
    <row r="1891" spans="12:12">
      <c r="L1891" s="135"/>
    </row>
    <row r="1892" spans="12:12">
      <c r="L1892" s="135"/>
    </row>
    <row r="1893" spans="12:12">
      <c r="L1893" s="135"/>
    </row>
    <row r="1894" spans="12:12">
      <c r="L1894" s="135"/>
    </row>
    <row r="1895" spans="12:12">
      <c r="L1895" s="135"/>
    </row>
    <row r="1896" spans="12:12">
      <c r="L1896" s="135"/>
    </row>
    <row r="1897" spans="12:12">
      <c r="L1897" s="135"/>
    </row>
    <row r="1898" spans="12:12">
      <c r="L1898" s="135"/>
    </row>
    <row r="1899" spans="12:12">
      <c r="L1899" s="135"/>
    </row>
    <row r="1900" spans="12:12">
      <c r="L1900" s="135"/>
    </row>
    <row r="1901" spans="12:12">
      <c r="L1901" s="135"/>
    </row>
    <row r="1902" spans="12:12">
      <c r="L1902" s="135"/>
    </row>
    <row r="1903" spans="12:12">
      <c r="L1903" s="135"/>
    </row>
    <row r="1904" spans="12:12">
      <c r="L1904" s="135"/>
    </row>
    <row r="1905" spans="12:12">
      <c r="L1905" s="135"/>
    </row>
    <row r="1906" spans="12:12">
      <c r="L1906" s="135"/>
    </row>
    <row r="1907" spans="12:12">
      <c r="L1907" s="135"/>
    </row>
    <row r="1908" spans="12:12">
      <c r="L1908" s="135"/>
    </row>
    <row r="1909" spans="12:12">
      <c r="L1909" s="135"/>
    </row>
    <row r="1910" spans="12:12">
      <c r="L1910" s="135"/>
    </row>
    <row r="1911" spans="12:12">
      <c r="L1911" s="135"/>
    </row>
    <row r="1912" spans="12:12">
      <c r="L1912" s="135"/>
    </row>
    <row r="1913" spans="12:12">
      <c r="L1913" s="135"/>
    </row>
    <row r="1914" spans="12:12">
      <c r="L1914" s="135"/>
    </row>
    <row r="1915" spans="12:12">
      <c r="L1915" s="135"/>
    </row>
    <row r="1916" spans="12:12">
      <c r="L1916" s="135"/>
    </row>
    <row r="1917" spans="12:12">
      <c r="L1917" s="135"/>
    </row>
    <row r="1918" spans="12:12">
      <c r="L1918" s="135"/>
    </row>
    <row r="1919" spans="12:12">
      <c r="L1919" s="135"/>
    </row>
    <row r="1920" spans="12:12">
      <c r="L1920" s="135"/>
    </row>
    <row r="1921" spans="12:12">
      <c r="L1921" s="135"/>
    </row>
    <row r="1922" spans="12:12">
      <c r="L1922" s="135"/>
    </row>
    <row r="1923" spans="12:12">
      <c r="L1923" s="135"/>
    </row>
    <row r="1924" spans="12:12">
      <c r="L1924" s="135"/>
    </row>
    <row r="1925" spans="12:12">
      <c r="L1925" s="135"/>
    </row>
    <row r="1926" spans="12:12">
      <c r="L1926" s="135"/>
    </row>
    <row r="1927" spans="12:12">
      <c r="L1927" s="135"/>
    </row>
    <row r="1928" spans="12:12">
      <c r="L1928" s="135"/>
    </row>
    <row r="1929" spans="12:12">
      <c r="L1929" s="135"/>
    </row>
    <row r="1930" spans="12:12">
      <c r="L1930" s="135"/>
    </row>
    <row r="1931" spans="12:12">
      <c r="L1931" s="135"/>
    </row>
    <row r="1932" spans="12:12">
      <c r="L1932" s="135"/>
    </row>
    <row r="1933" spans="12:12">
      <c r="L1933" s="135"/>
    </row>
    <row r="1934" spans="12:12">
      <c r="L1934" s="135"/>
    </row>
    <row r="1935" spans="12:12">
      <c r="L1935" s="135"/>
    </row>
    <row r="1936" spans="12:12">
      <c r="L1936" s="135"/>
    </row>
    <row r="1937" spans="12:12">
      <c r="L1937" s="135"/>
    </row>
    <row r="1938" spans="12:12">
      <c r="L1938" s="135"/>
    </row>
    <row r="1939" spans="12:12">
      <c r="L1939" s="135"/>
    </row>
    <row r="1940" spans="12:12">
      <c r="L1940" s="135"/>
    </row>
    <row r="1941" spans="12:12">
      <c r="L1941" s="135"/>
    </row>
    <row r="1942" spans="12:12">
      <c r="L1942" s="135"/>
    </row>
    <row r="1943" spans="12:12">
      <c r="L1943" s="135"/>
    </row>
    <row r="1944" spans="12:12">
      <c r="L1944" s="135"/>
    </row>
    <row r="1945" spans="12:12">
      <c r="L1945" s="135"/>
    </row>
    <row r="1946" spans="12:12">
      <c r="L1946" s="135"/>
    </row>
    <row r="1947" spans="12:12">
      <c r="L1947" s="135"/>
    </row>
    <row r="1948" spans="12:12">
      <c r="L1948" s="135"/>
    </row>
    <row r="1949" spans="12:12">
      <c r="L1949" s="135"/>
    </row>
    <row r="1950" spans="12:12">
      <c r="L1950" s="135"/>
    </row>
    <row r="1951" spans="12:12">
      <c r="L1951" s="135"/>
    </row>
    <row r="1952" spans="12:12">
      <c r="L1952" s="135"/>
    </row>
    <row r="1953" spans="12:12">
      <c r="L1953" s="135"/>
    </row>
    <row r="1954" spans="12:12">
      <c r="L1954" s="135"/>
    </row>
    <row r="1955" spans="12:12">
      <c r="L1955" s="135"/>
    </row>
    <row r="1956" spans="12:12">
      <c r="L1956" s="135"/>
    </row>
    <row r="1957" spans="12:12">
      <c r="L1957" s="135"/>
    </row>
    <row r="1958" spans="12:12">
      <c r="L1958" s="135"/>
    </row>
    <row r="1959" spans="12:12">
      <c r="L1959" s="135"/>
    </row>
    <row r="1960" spans="12:12">
      <c r="L1960" s="135"/>
    </row>
    <row r="1961" spans="12:12">
      <c r="L1961" s="135"/>
    </row>
    <row r="1962" spans="12:12">
      <c r="L1962" s="135"/>
    </row>
    <row r="1963" spans="12:12">
      <c r="L1963" s="135"/>
    </row>
    <row r="1964" spans="12:12">
      <c r="L1964" s="135"/>
    </row>
    <row r="1965" spans="12:12">
      <c r="L1965" s="135"/>
    </row>
    <row r="1966" spans="12:12">
      <c r="L1966" s="135"/>
    </row>
    <row r="1967" spans="12:12">
      <c r="L1967" s="135"/>
    </row>
    <row r="1968" spans="12:12">
      <c r="L1968" s="135"/>
    </row>
    <row r="1969" spans="12:12">
      <c r="L1969" s="135"/>
    </row>
    <row r="1970" spans="12:12">
      <c r="L1970" s="135"/>
    </row>
    <row r="1971" spans="12:12">
      <c r="L1971" s="135"/>
    </row>
    <row r="1972" spans="12:12">
      <c r="L1972" s="135"/>
    </row>
    <row r="1973" spans="12:12">
      <c r="L1973" s="135"/>
    </row>
    <row r="1974" spans="12:12">
      <c r="L1974" s="135"/>
    </row>
    <row r="1975" spans="12:12">
      <c r="L1975" s="135"/>
    </row>
    <row r="1976" spans="12:12">
      <c r="L1976" s="135"/>
    </row>
    <row r="1977" spans="12:12">
      <c r="L1977" s="135"/>
    </row>
    <row r="1978" spans="12:12">
      <c r="L1978" s="135"/>
    </row>
    <row r="1979" spans="12:12">
      <c r="L1979" s="135"/>
    </row>
    <row r="1980" spans="12:12">
      <c r="L1980" s="135"/>
    </row>
    <row r="1981" spans="12:12">
      <c r="L1981" s="135"/>
    </row>
    <row r="1982" spans="12:12">
      <c r="L1982" s="135"/>
    </row>
    <row r="1983" spans="12:12">
      <c r="L1983" s="135"/>
    </row>
    <row r="1984" spans="12:12">
      <c r="L1984" s="135"/>
    </row>
    <row r="1985" spans="12:12">
      <c r="L1985" s="135"/>
    </row>
    <row r="1986" spans="12:12">
      <c r="L1986" s="135"/>
    </row>
    <row r="1987" spans="12:12">
      <c r="L1987" s="135"/>
    </row>
    <row r="1988" spans="12:12">
      <c r="L1988" s="135"/>
    </row>
    <row r="1989" spans="12:12">
      <c r="L1989" s="135"/>
    </row>
    <row r="1990" spans="12:12">
      <c r="L1990" s="135"/>
    </row>
    <row r="1991" spans="12:12">
      <c r="L1991" s="135"/>
    </row>
    <row r="1992" spans="12:12">
      <c r="L1992" s="135"/>
    </row>
    <row r="1993" spans="12:12">
      <c r="L1993" s="135"/>
    </row>
    <row r="1994" spans="12:12">
      <c r="L1994" s="135"/>
    </row>
    <row r="1995" spans="12:12">
      <c r="L1995" s="135"/>
    </row>
    <row r="1996" spans="12:12">
      <c r="L1996" s="135"/>
    </row>
    <row r="1997" spans="12:12">
      <c r="L1997" s="135"/>
    </row>
    <row r="1998" spans="12:12">
      <c r="L1998" s="135"/>
    </row>
    <row r="1999" spans="12:12">
      <c r="L1999" s="135"/>
    </row>
    <row r="2000" spans="12:12">
      <c r="L2000" s="135"/>
    </row>
    <row r="2001" spans="12:12">
      <c r="L2001" s="135"/>
    </row>
    <row r="2002" spans="12:12">
      <c r="L2002" s="135"/>
    </row>
    <row r="2003" spans="12:12">
      <c r="L2003" s="135"/>
    </row>
    <row r="2004" spans="12:12">
      <c r="L2004" s="135"/>
    </row>
    <row r="2005" spans="12:12">
      <c r="L2005" s="135"/>
    </row>
    <row r="2006" spans="12:12">
      <c r="L2006" s="135"/>
    </row>
    <row r="2007" spans="12:12">
      <c r="L2007" s="135"/>
    </row>
    <row r="2008" spans="12:12">
      <c r="L2008" s="135"/>
    </row>
    <row r="2009" spans="12:12">
      <c r="L2009" s="135"/>
    </row>
    <row r="2010" spans="12:12">
      <c r="L2010" s="135"/>
    </row>
    <row r="2011" spans="12:12">
      <c r="L2011" s="135"/>
    </row>
    <row r="2012" spans="12:12">
      <c r="L2012" s="135"/>
    </row>
    <row r="2013" spans="12:12">
      <c r="L2013" s="135"/>
    </row>
    <row r="2014" spans="12:12">
      <c r="L2014" s="135"/>
    </row>
    <row r="2015" spans="12:12">
      <c r="L2015" s="135"/>
    </row>
    <row r="2016" spans="12:12">
      <c r="L2016" s="135"/>
    </row>
    <row r="2017" spans="12:12">
      <c r="L2017" s="135"/>
    </row>
    <row r="2018" spans="12:12">
      <c r="L2018" s="135"/>
    </row>
    <row r="2019" spans="12:12">
      <c r="L2019" s="135"/>
    </row>
    <row r="2020" spans="12:12">
      <c r="L2020" s="135"/>
    </row>
    <row r="2021" spans="12:12">
      <c r="L2021" s="135"/>
    </row>
    <row r="2022" spans="12:12">
      <c r="L2022" s="135"/>
    </row>
    <row r="2023" spans="12:12">
      <c r="L2023" s="135"/>
    </row>
    <row r="2024" spans="12:12">
      <c r="L2024" s="135"/>
    </row>
    <row r="2025" spans="12:12">
      <c r="L2025" s="135"/>
    </row>
    <row r="2026" spans="12:12">
      <c r="L2026" s="135"/>
    </row>
    <row r="2027" spans="12:12">
      <c r="L2027" s="135"/>
    </row>
    <row r="2028" spans="12:12">
      <c r="L2028" s="135"/>
    </row>
    <row r="2029" spans="12:12">
      <c r="L2029" s="135"/>
    </row>
    <row r="2030" spans="12:12">
      <c r="L2030" s="135"/>
    </row>
    <row r="2031" spans="12:12">
      <c r="L2031" s="135"/>
    </row>
    <row r="2032" spans="12:12">
      <c r="L2032" s="135"/>
    </row>
    <row r="2033" spans="12:12">
      <c r="L2033" s="135"/>
    </row>
    <row r="2034" spans="12:12">
      <c r="L2034" s="135"/>
    </row>
    <row r="2035" spans="12:12">
      <c r="L2035" s="135"/>
    </row>
    <row r="2036" spans="12:12">
      <c r="L2036" s="135"/>
    </row>
    <row r="2037" spans="12:12">
      <c r="L2037" s="135"/>
    </row>
    <row r="2038" spans="12:12">
      <c r="L2038" s="135"/>
    </row>
    <row r="2039" spans="12:12">
      <c r="L2039" s="135"/>
    </row>
    <row r="2040" spans="12:12">
      <c r="L2040" s="135"/>
    </row>
    <row r="2041" spans="12:12">
      <c r="L2041" s="135"/>
    </row>
    <row r="2042" spans="12:12">
      <c r="L2042" s="135"/>
    </row>
    <row r="2043" spans="12:12">
      <c r="L2043" s="135"/>
    </row>
    <row r="2044" spans="12:12">
      <c r="L2044" s="135"/>
    </row>
    <row r="2045" spans="12:12">
      <c r="L2045" s="135"/>
    </row>
    <row r="2046" spans="12:12">
      <c r="L2046" s="135"/>
    </row>
    <row r="2047" spans="12:12">
      <c r="L2047" s="135"/>
    </row>
    <row r="2048" spans="12:12">
      <c r="L2048" s="135"/>
    </row>
    <row r="2049" spans="12:12">
      <c r="L2049" s="135"/>
    </row>
    <row r="2050" spans="12:12">
      <c r="L2050" s="135"/>
    </row>
    <row r="2051" spans="12:12">
      <c r="L2051" s="135"/>
    </row>
    <row r="2052" spans="12:12">
      <c r="L2052" s="135"/>
    </row>
    <row r="2053" spans="12:12">
      <c r="L2053" s="135"/>
    </row>
    <row r="2054" spans="12:12">
      <c r="L2054" s="135"/>
    </row>
    <row r="2055" spans="12:12">
      <c r="L2055" s="135"/>
    </row>
    <row r="2056" spans="12:12">
      <c r="L2056" s="135"/>
    </row>
    <row r="2057" spans="12:12">
      <c r="L2057" s="135"/>
    </row>
    <row r="2058" spans="12:12">
      <c r="L2058" s="135"/>
    </row>
    <row r="2059" spans="12:12">
      <c r="L2059" s="135"/>
    </row>
    <row r="2060" spans="12:12">
      <c r="L2060" s="135"/>
    </row>
    <row r="2061" spans="12:12">
      <c r="L2061" s="135"/>
    </row>
    <row r="2062" spans="12:12">
      <c r="L2062" s="135"/>
    </row>
    <row r="2063" spans="12:12">
      <c r="L2063" s="135"/>
    </row>
    <row r="2064" spans="12:12">
      <c r="L2064" s="135"/>
    </row>
    <row r="2065" spans="12:12">
      <c r="L2065" s="135"/>
    </row>
    <row r="2066" spans="12:12">
      <c r="L2066" s="135"/>
    </row>
    <row r="2067" spans="12:12">
      <c r="L2067" s="135"/>
    </row>
    <row r="2068" spans="12:12">
      <c r="L2068" s="135"/>
    </row>
    <row r="2069" spans="12:12">
      <c r="L2069" s="135"/>
    </row>
    <row r="2070" spans="12:12">
      <c r="L2070" s="135"/>
    </row>
    <row r="2071" spans="12:12">
      <c r="L2071" s="135"/>
    </row>
    <row r="2072" spans="12:12">
      <c r="L2072" s="135"/>
    </row>
    <row r="2073" spans="12:12">
      <c r="L2073" s="135"/>
    </row>
    <row r="2074" spans="12:12">
      <c r="L2074" s="135"/>
    </row>
    <row r="2075" spans="12:12">
      <c r="L2075" s="135"/>
    </row>
    <row r="2076" spans="12:12">
      <c r="L2076" s="135"/>
    </row>
    <row r="2077" spans="12:12">
      <c r="L2077" s="135"/>
    </row>
    <row r="2078" spans="12:12">
      <c r="L2078" s="135"/>
    </row>
    <row r="2079" spans="12:12">
      <c r="L2079" s="135"/>
    </row>
    <row r="2080" spans="12:12">
      <c r="L2080" s="135"/>
    </row>
    <row r="2081" spans="12:12">
      <c r="L2081" s="135"/>
    </row>
    <row r="2082" spans="12:12">
      <c r="L2082" s="135"/>
    </row>
    <row r="2083" spans="12:12">
      <c r="L2083" s="135"/>
    </row>
    <row r="2084" spans="12:12">
      <c r="L2084" s="135"/>
    </row>
    <row r="2085" spans="12:12">
      <c r="L2085" s="135"/>
    </row>
    <row r="2086" spans="12:12">
      <c r="L2086" s="135"/>
    </row>
    <row r="2087" spans="12:12">
      <c r="L2087" s="135"/>
    </row>
    <row r="2088" spans="12:12">
      <c r="L2088" s="135"/>
    </row>
    <row r="2089" spans="12:12">
      <c r="L2089" s="135"/>
    </row>
    <row r="2090" spans="12:12">
      <c r="L2090" s="135"/>
    </row>
    <row r="2091" spans="12:12">
      <c r="L2091" s="135"/>
    </row>
    <row r="2092" spans="12:12">
      <c r="L2092" s="135"/>
    </row>
    <row r="2093" spans="12:12">
      <c r="L2093" s="135"/>
    </row>
    <row r="2094" spans="12:12">
      <c r="L2094" s="135"/>
    </row>
    <row r="2095" spans="12:12">
      <c r="L2095" s="135"/>
    </row>
    <row r="2096" spans="12:12">
      <c r="L2096" s="135"/>
    </row>
    <row r="2097" spans="12:12">
      <c r="L2097" s="135"/>
    </row>
    <row r="2098" spans="12:12">
      <c r="L2098" s="135"/>
    </row>
    <row r="2099" spans="12:12">
      <c r="L2099" s="135"/>
    </row>
    <row r="2100" spans="12:12">
      <c r="L2100" s="135"/>
    </row>
    <row r="2101" spans="12:12">
      <c r="L2101" s="135"/>
    </row>
    <row r="2102" spans="12:12">
      <c r="L2102" s="135"/>
    </row>
    <row r="2103" spans="12:12">
      <c r="L2103" s="135"/>
    </row>
    <row r="2104" spans="12:12">
      <c r="L2104" s="135"/>
    </row>
    <row r="2105" spans="12:12">
      <c r="L2105" s="135"/>
    </row>
    <row r="2106" spans="12:12">
      <c r="L2106" s="135"/>
    </row>
    <row r="2107" spans="12:12">
      <c r="L2107" s="135"/>
    </row>
    <row r="2108" spans="12:12">
      <c r="L2108" s="135"/>
    </row>
    <row r="2109" spans="12:12">
      <c r="L2109" s="135"/>
    </row>
    <row r="2110" spans="12:12">
      <c r="L2110" s="135"/>
    </row>
    <row r="2111" spans="12:12">
      <c r="L2111" s="135"/>
    </row>
    <row r="2112" spans="12:12">
      <c r="L2112" s="135"/>
    </row>
    <row r="2113" spans="12:12">
      <c r="L2113" s="135"/>
    </row>
    <row r="2114" spans="12:12">
      <c r="L2114" s="135"/>
    </row>
    <row r="2115" spans="12:12">
      <c r="L2115" s="135"/>
    </row>
    <row r="2116" spans="12:12">
      <c r="L2116" s="135"/>
    </row>
    <row r="2117" spans="12:12">
      <c r="L2117" s="135"/>
    </row>
    <row r="2118" spans="12:12">
      <c r="L2118" s="135"/>
    </row>
    <row r="2119" spans="12:12">
      <c r="L2119" s="135"/>
    </row>
    <row r="2120" spans="12:12">
      <c r="L2120" s="135"/>
    </row>
    <row r="2121" spans="12:12">
      <c r="L2121" s="135"/>
    </row>
    <row r="2122" spans="12:12">
      <c r="L2122" s="135"/>
    </row>
    <row r="2123" spans="12:12">
      <c r="L2123" s="135"/>
    </row>
    <row r="2124" spans="12:12">
      <c r="L2124" s="135"/>
    </row>
    <row r="2125" spans="12:12">
      <c r="L2125" s="135"/>
    </row>
    <row r="2126" spans="12:12">
      <c r="L2126" s="135"/>
    </row>
    <row r="2127" spans="12:12">
      <c r="L2127" s="135"/>
    </row>
    <row r="2128" spans="12:12">
      <c r="L2128" s="135"/>
    </row>
    <row r="2129" spans="12:12">
      <c r="L2129" s="135"/>
    </row>
    <row r="2130" spans="12:12">
      <c r="L2130" s="135"/>
    </row>
    <row r="2131" spans="12:12">
      <c r="L2131" s="135"/>
    </row>
    <row r="2132" spans="12:12">
      <c r="L2132" s="135"/>
    </row>
    <row r="2133" spans="12:12">
      <c r="L2133" s="135"/>
    </row>
    <row r="2134" spans="12:12">
      <c r="L2134" s="135"/>
    </row>
    <row r="2135" spans="12:12">
      <c r="L2135" s="135"/>
    </row>
    <row r="2136" spans="12:12">
      <c r="L2136" s="135"/>
    </row>
    <row r="2137" spans="12:12">
      <c r="L2137" s="135"/>
    </row>
    <row r="2138" spans="12:12">
      <c r="L2138" s="135"/>
    </row>
    <row r="2139" spans="12:12">
      <c r="L2139" s="135"/>
    </row>
    <row r="2140" spans="12:12">
      <c r="L2140" s="135"/>
    </row>
    <row r="2141" spans="12:12">
      <c r="L2141" s="135"/>
    </row>
    <row r="2142" spans="12:12">
      <c r="L2142" s="135"/>
    </row>
    <row r="2143" spans="12:12">
      <c r="L2143" s="135"/>
    </row>
    <row r="2144" spans="12:12">
      <c r="L2144" s="135"/>
    </row>
    <row r="2145" spans="12:12">
      <c r="L2145" s="135"/>
    </row>
    <row r="2146" spans="12:12">
      <c r="L2146" s="135"/>
    </row>
    <row r="2147" spans="12:12">
      <c r="L2147" s="135"/>
    </row>
    <row r="2148" spans="12:12">
      <c r="L2148" s="135"/>
    </row>
    <row r="2149" spans="12:12">
      <c r="L2149" s="135"/>
    </row>
    <row r="2150" spans="12:12">
      <c r="L2150" s="135"/>
    </row>
    <row r="2151" spans="12:12">
      <c r="L2151" s="135"/>
    </row>
    <row r="2152" spans="12:12">
      <c r="L2152" s="135"/>
    </row>
    <row r="2153" spans="12:12">
      <c r="L2153" s="135"/>
    </row>
    <row r="2154" spans="12:12">
      <c r="L2154" s="135"/>
    </row>
    <row r="2155" spans="12:12">
      <c r="L2155" s="135"/>
    </row>
    <row r="2156" spans="12:12">
      <c r="L2156" s="135"/>
    </row>
    <row r="2157" spans="12:12">
      <c r="L2157" s="135"/>
    </row>
    <row r="2158" spans="12:12">
      <c r="L2158" s="135"/>
    </row>
    <row r="2159" spans="12:12">
      <c r="L2159" s="135"/>
    </row>
    <row r="2160" spans="12:12">
      <c r="L2160" s="135"/>
    </row>
    <row r="2161" spans="12:12">
      <c r="L2161" s="135"/>
    </row>
    <row r="2162" spans="12:12">
      <c r="L2162" s="135"/>
    </row>
    <row r="2163" spans="12:12">
      <c r="L2163" s="135"/>
    </row>
    <row r="2164" spans="12:12">
      <c r="L2164" s="135"/>
    </row>
    <row r="2165" spans="12:12">
      <c r="L2165" s="135"/>
    </row>
    <row r="2166" spans="12:12">
      <c r="L2166" s="135"/>
    </row>
    <row r="2167" spans="12:12">
      <c r="L2167" s="135"/>
    </row>
    <row r="2168" spans="12:12">
      <c r="L2168" s="135"/>
    </row>
    <row r="2169" spans="12:12">
      <c r="L2169" s="135"/>
    </row>
    <row r="2170" spans="12:12">
      <c r="L2170" s="135"/>
    </row>
    <row r="2171" spans="12:12">
      <c r="L2171" s="135"/>
    </row>
    <row r="2172" spans="12:12">
      <c r="L2172" s="135"/>
    </row>
    <row r="2173" spans="12:12">
      <c r="L2173" s="135"/>
    </row>
    <row r="2174" spans="12:12">
      <c r="L2174" s="135"/>
    </row>
    <row r="2175" spans="12:12">
      <c r="L2175" s="135"/>
    </row>
    <row r="2176" spans="12:12">
      <c r="L2176" s="135"/>
    </row>
    <row r="2177" spans="12:12">
      <c r="L2177" s="135"/>
    </row>
    <row r="2178" spans="12:12">
      <c r="L2178" s="135"/>
    </row>
    <row r="2179" spans="12:12">
      <c r="L2179" s="135"/>
    </row>
    <row r="2180" spans="12:12">
      <c r="L2180" s="135"/>
    </row>
    <row r="2181" spans="12:12">
      <c r="L2181" s="135"/>
    </row>
    <row r="2182" spans="12:12">
      <c r="L2182" s="135"/>
    </row>
    <row r="2183" spans="12:12">
      <c r="L2183" s="135"/>
    </row>
    <row r="2184" spans="12:12">
      <c r="L2184" s="135"/>
    </row>
    <row r="2185" spans="12:12">
      <c r="L2185" s="135"/>
    </row>
    <row r="2186" spans="12:12">
      <c r="L2186" s="135"/>
    </row>
    <row r="2187" spans="12:12">
      <c r="L2187" s="135"/>
    </row>
    <row r="2188" spans="12:12">
      <c r="L2188" s="135"/>
    </row>
    <row r="2189" spans="12:12">
      <c r="L2189" s="135"/>
    </row>
    <row r="2190" spans="12:12">
      <c r="L2190" s="135"/>
    </row>
    <row r="2191" spans="12:12">
      <c r="L2191" s="135"/>
    </row>
    <row r="2192" spans="12:12">
      <c r="L2192" s="135"/>
    </row>
    <row r="2193" spans="12:12">
      <c r="L2193" s="135"/>
    </row>
    <row r="2194" spans="12:12">
      <c r="L2194" s="135"/>
    </row>
    <row r="2195" spans="12:12">
      <c r="L2195" s="135"/>
    </row>
    <row r="2196" spans="12:12">
      <c r="L2196" s="135"/>
    </row>
    <row r="2197" spans="12:12">
      <c r="L2197" s="135"/>
    </row>
    <row r="2198" spans="12:12">
      <c r="L2198" s="135"/>
    </row>
    <row r="2199" spans="12:12">
      <c r="L2199" s="135"/>
    </row>
    <row r="2200" spans="12:12">
      <c r="L2200" s="135"/>
    </row>
    <row r="2201" spans="12:12">
      <c r="L2201" s="135"/>
    </row>
    <row r="2202" spans="12:12">
      <c r="L2202" s="135"/>
    </row>
    <row r="2203" spans="12:12">
      <c r="L2203" s="135"/>
    </row>
    <row r="2204" spans="12:12">
      <c r="L2204" s="135"/>
    </row>
    <row r="2205" spans="12:12">
      <c r="L2205" s="135"/>
    </row>
    <row r="2206" spans="12:12">
      <c r="L2206" s="135"/>
    </row>
    <row r="2207" spans="12:12">
      <c r="L2207" s="135"/>
    </row>
    <row r="2208" spans="12:12">
      <c r="L2208" s="135"/>
    </row>
    <row r="2209" spans="12:12">
      <c r="L2209" s="135"/>
    </row>
    <row r="2210" spans="12:12">
      <c r="L2210" s="135"/>
    </row>
    <row r="2211" spans="12:12">
      <c r="L2211" s="135"/>
    </row>
    <row r="2212" spans="12:12">
      <c r="L2212" s="135"/>
    </row>
    <row r="2213" spans="12:12">
      <c r="L2213" s="135"/>
    </row>
    <row r="2214" spans="12:12">
      <c r="L2214" s="135"/>
    </row>
    <row r="2215" spans="12:12">
      <c r="L2215" s="135"/>
    </row>
    <row r="2216" spans="12:12">
      <c r="L2216" s="135"/>
    </row>
    <row r="2217" spans="12:12">
      <c r="L2217" s="135"/>
    </row>
    <row r="2218" spans="12:12">
      <c r="L2218" s="135"/>
    </row>
    <row r="2219" spans="12:12">
      <c r="L2219" s="135"/>
    </row>
    <row r="2220" spans="12:12">
      <c r="L2220" s="135"/>
    </row>
    <row r="2221" spans="12:12">
      <c r="L2221" s="135"/>
    </row>
    <row r="2222" spans="12:12">
      <c r="L2222" s="135"/>
    </row>
    <row r="2223" spans="12:12">
      <c r="L2223" s="135"/>
    </row>
    <row r="2224" spans="12:12">
      <c r="L2224" s="135"/>
    </row>
    <row r="2225" spans="12:12">
      <c r="L2225" s="135"/>
    </row>
    <row r="2226" spans="12:12">
      <c r="L2226" s="135"/>
    </row>
    <row r="2227" spans="12:12">
      <c r="L2227" s="135"/>
    </row>
    <row r="2228" spans="12:12">
      <c r="L2228" s="135"/>
    </row>
    <row r="2229" spans="12:12">
      <c r="L2229" s="135"/>
    </row>
    <row r="2230" spans="12:12">
      <c r="L2230" s="135"/>
    </row>
    <row r="2231" spans="12:12">
      <c r="L2231" s="135"/>
    </row>
    <row r="2232" spans="12:12">
      <c r="L2232" s="135"/>
    </row>
    <row r="2233" spans="12:12">
      <c r="L2233" s="135"/>
    </row>
    <row r="2234" spans="12:12">
      <c r="L2234" s="135"/>
    </row>
    <row r="2235" spans="12:12">
      <c r="L2235" s="135"/>
    </row>
    <row r="2236" spans="12:12">
      <c r="L2236" s="135"/>
    </row>
    <row r="2237" spans="12:12">
      <c r="L2237" s="135"/>
    </row>
    <row r="2238" spans="12:12">
      <c r="L2238" s="135"/>
    </row>
    <row r="2239" spans="12:12">
      <c r="L2239" s="135"/>
    </row>
    <row r="2240" spans="12:12">
      <c r="L2240" s="135"/>
    </row>
    <row r="2241" spans="12:12">
      <c r="L2241" s="135"/>
    </row>
    <row r="2242" spans="12:12">
      <c r="L2242" s="135"/>
    </row>
    <row r="2243" spans="12:12">
      <c r="L2243" s="135"/>
    </row>
    <row r="2244" spans="12:12">
      <c r="L2244" s="135"/>
    </row>
    <row r="2245" spans="12:12">
      <c r="L2245" s="135"/>
    </row>
    <row r="2246" spans="12:12">
      <c r="L2246" s="135"/>
    </row>
    <row r="2247" spans="12:12">
      <c r="L2247" s="135"/>
    </row>
    <row r="2248" spans="12:12">
      <c r="L2248" s="135"/>
    </row>
    <row r="2249" spans="12:12">
      <c r="L2249" s="135"/>
    </row>
    <row r="2250" spans="12:12">
      <c r="L2250" s="135"/>
    </row>
    <row r="2251" spans="12:12">
      <c r="L2251" s="135"/>
    </row>
    <row r="2252" spans="12:12">
      <c r="L2252" s="135"/>
    </row>
    <row r="2253" spans="12:12">
      <c r="L2253" s="135"/>
    </row>
    <row r="2254" spans="12:12">
      <c r="L2254" s="135"/>
    </row>
    <row r="2255" spans="12:12">
      <c r="L2255" s="135"/>
    </row>
    <row r="2256" spans="12:12">
      <c r="L2256" s="135"/>
    </row>
    <row r="2257" spans="12:12">
      <c r="L2257" s="135"/>
    </row>
    <row r="2258" spans="12:12">
      <c r="L2258" s="135"/>
    </row>
    <row r="2259" spans="12:12">
      <c r="L2259" s="135"/>
    </row>
    <row r="2260" spans="12:12">
      <c r="L2260" s="135"/>
    </row>
    <row r="2261" spans="12:12">
      <c r="L2261" s="135"/>
    </row>
    <row r="2262" spans="12:12">
      <c r="L2262" s="135"/>
    </row>
    <row r="2263" spans="12:12">
      <c r="L2263" s="135"/>
    </row>
    <row r="2264" spans="12:12">
      <c r="L2264" s="135"/>
    </row>
    <row r="2265" spans="12:12">
      <c r="L2265" s="135"/>
    </row>
    <row r="2266" spans="12:12">
      <c r="L2266" s="135"/>
    </row>
    <row r="2267" spans="12:12">
      <c r="L2267" s="135"/>
    </row>
    <row r="2268" spans="12:12">
      <c r="L2268" s="135"/>
    </row>
    <row r="2269" spans="12:12">
      <c r="L2269" s="135"/>
    </row>
  </sheetData>
  <mergeCells count="1">
    <mergeCell ref="C14:D14"/>
  </mergeCells>
  <dataValidations count="1">
    <dataValidation type="list" allowBlank="1" showInputMessage="1" showErrorMessage="1" sqref="E14" xr:uid="{721BDC41-A015-498E-904E-0C544AD74C3C}">
      <formula1>"Yes,No"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Summary</vt:lpstr>
      <vt:lpstr>Inputs</vt:lpstr>
      <vt:lpstr>Discount Curve</vt:lpstr>
      <vt:lpstr>Historical Rates</vt:lpstr>
      <vt:lpstr>Volatility Smile</vt:lpstr>
      <vt:lpstr>BlackVol</vt:lpstr>
      <vt:lpstr>CalibrationMethod</vt:lpstr>
      <vt:lpstr>CashFlows</vt:lpstr>
      <vt:lpstr>Coupon</vt:lpstr>
      <vt:lpstr>Date1</vt:lpstr>
      <vt:lpstr>Delta</vt:lpstr>
      <vt:lpstr>discount1</vt:lpstr>
      <vt:lpstr>Dr</vt:lpstr>
      <vt:lpstr>Error</vt:lpstr>
      <vt:lpstr>Face</vt:lpstr>
      <vt:lpstr>Frequency</vt:lpstr>
      <vt:lpstr>HWParameters</vt:lpstr>
      <vt:lpstr>Maturity</vt:lpstr>
      <vt:lpstr>Mean_Reversion</vt:lpstr>
      <vt:lpstr>MeanReversionCalibration</vt:lpstr>
      <vt:lpstr>MeanReversionRegression</vt:lpstr>
      <vt:lpstr>NonCall</vt:lpstr>
      <vt:lpstr>OAS</vt:lpstr>
      <vt:lpstr>OutputOAS</vt:lpstr>
      <vt:lpstr>P</vt:lpstr>
      <vt:lpstr>Penalty</vt:lpstr>
      <vt:lpstr>Penalty1</vt:lpstr>
      <vt:lpstr>Penalty2</vt:lpstr>
      <vt:lpstr>Penalty3</vt:lpstr>
      <vt:lpstr>Price</vt:lpstr>
      <vt:lpstr>putcall</vt:lpstr>
      <vt:lpstr>rmax</vt:lpstr>
      <vt:lpstr>rmin</vt:lpstr>
      <vt:lpstr>save</vt:lpstr>
      <vt:lpstr>ShowHWImpVol</vt:lpstr>
      <vt:lpstr>SmoothingSplines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2024-11-19T03:38:35Z</dcterms:modified>
</cp:coreProperties>
</file>